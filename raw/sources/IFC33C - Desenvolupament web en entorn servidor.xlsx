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PORTADA" sheetId="1" r:id="rId5"/>
    <sheet state="visible" name="1-INTRODUCCIÓ" sheetId="2" r:id="rId6"/>
    <sheet state="visible" name="2-ANCORATGE CURRICULAR" sheetId="3" r:id="rId7"/>
    <sheet state="visible" name="3-METODOLOGIA" sheetId="4" r:id="rId8"/>
    <sheet state="visible" name="4-AVALUACIÓ" sheetId="5" r:id="rId9"/>
    <sheet state="visible" name="5-Activitats extraescolars" sheetId="6" r:id="rId10"/>
    <sheet state="visible" name="6-Distribució temporal" sheetId="7" r:id="rId11"/>
    <sheet state="visible" name="UT1" sheetId="8" r:id="rId12"/>
    <sheet state="visible" name="UT2" sheetId="9" r:id="rId13"/>
    <sheet state="visible" name="UT3" sheetId="10" r:id="rId14"/>
    <sheet state="visible" name="UT4" sheetId="11" r:id="rId15"/>
    <sheet state="visible" name="UT5" sheetId="12" r:id="rId16"/>
    <sheet state="visible" name="UT6" sheetId="13" r:id="rId17"/>
    <sheet state="visible" name="UT7" sheetId="14" r:id="rId18"/>
    <sheet state="visible" name="UT8" sheetId="15" r:id="rId19"/>
    <sheet state="visible" name="UT9" sheetId="16" r:id="rId20"/>
    <sheet state="visible" name="UT10" sheetId="17" r:id="rId21"/>
    <sheet state="visible" name="UT11" sheetId="18" r:id="rId22"/>
    <sheet state="visible" name="UT12" sheetId="19" r:id="rId23"/>
    <sheet state="visible" name="MEMÒRIA FI DE CURS" sheetId="20" r:id="rId24"/>
  </sheets>
  <definedNames>
    <definedName localSheetId="9" name="logo">'UT3'!$A$1:$C$2</definedName>
    <definedName localSheetId="17" name="logo">'UT11'!$A$1:$C$2</definedName>
    <definedName localSheetId="14" name="logo">'UT8'!$A$1:$C$2</definedName>
    <definedName name="logo">'UT1'!$A$1:$C$2</definedName>
    <definedName localSheetId="11" name="logo">'UT5'!$A$1:$C$2</definedName>
    <definedName localSheetId="15" name="logo">'UT9'!$A$1:$C$2</definedName>
    <definedName localSheetId="18" name="logo">'UT12'!$A$1:$C$2</definedName>
    <definedName localSheetId="16" name="logo">'UT10'!$A$1:$C$2</definedName>
    <definedName localSheetId="12" name="logo">'UT6'!$A$1:$C$2</definedName>
    <definedName localSheetId="13" name="logo">'UT7'!$A$1:$C$2</definedName>
    <definedName localSheetId="10" name="logo">'UT4'!$A$1:$C$2</definedName>
    <definedName localSheetId="8" name="logo">'UT2'!$A$1:$C$2</definedName>
  </definedNames>
  <calcPr/>
</workbook>
</file>

<file path=xl/sharedStrings.xml><?xml version="1.0" encoding="utf-8"?>
<sst xmlns="http://schemas.openxmlformats.org/spreadsheetml/2006/main" count="386" uniqueCount="246">
  <si>
    <t>CIFP PAU CASESNOVES</t>
  </si>
  <si>
    <t>CURS 26/27 - INTRODUCCIÓ</t>
  </si>
  <si>
    <t xml:space="preserve">MDO20201 </t>
  </si>
  <si>
    <t>METODOLOGIA</t>
  </si>
  <si>
    <t>REAL DECRET QUE REGULA EL TÍTOL</t>
  </si>
  <si>
    <t xml:space="preserve">Per emplenar aquest model de programació heu d'emplenar totes les fulles d'aquest document en l'ordre estabert (full 1, full2...). </t>
  </si>
  <si>
    <t>RD 686/2010, de 20 de maig, modificat per el RD 405/2023</t>
  </si>
  <si>
    <t>Metodologia didàctica aplicada a l’aula</t>
  </si>
  <si>
    <t>CICLE</t>
  </si>
  <si>
    <t>Desenvolupament d'aplicacions web</t>
  </si>
  <si>
    <r>
      <rPr>
        <rFont val="Poppins"/>
        <color theme="1"/>
      </rPr>
      <t xml:space="preserve">Fixau-vos que:
- Emplenant el </t>
    </r>
    <r>
      <rPr>
        <rFont val="Poppins"/>
        <b/>
        <color theme="1"/>
      </rPr>
      <t>full 6-Distribució temporal</t>
    </r>
    <r>
      <rPr>
        <rFont val="Poppins"/>
        <color theme="1"/>
      </rPr>
      <t xml:space="preserve">, s'emplena </t>
    </r>
    <r>
      <rPr>
        <rFont val="Poppins"/>
        <b/>
        <color theme="1"/>
      </rPr>
      <t>automàticament la capçalera del corresponent full UTx</t>
    </r>
    <r>
      <rPr>
        <rFont val="Poppins"/>
        <color theme="1"/>
      </rPr>
      <t xml:space="preserve">.
- Emplenant </t>
    </r>
    <r>
      <rPr>
        <rFont val="Poppins"/>
        <b/>
        <color theme="1"/>
      </rPr>
      <t>el darrer apartat de cada full UTx d'observacions</t>
    </r>
    <r>
      <rPr>
        <rFont val="Poppins"/>
        <color theme="1"/>
      </rPr>
      <t xml:space="preserve"> per introduir a la memòria, s'emplena </t>
    </r>
    <r>
      <rPr>
        <rFont val="Poppins"/>
        <b/>
        <color theme="1"/>
      </rPr>
      <t>automàticament l'apartat corresponent del darrer full de MEMÒRIA FI DE CURS.</t>
    </r>
    <r>
      <rPr>
        <rFont val="Poppins"/>
        <color theme="1"/>
      </rPr>
      <t xml:space="preserve">
- El primer apartat del darrer </t>
    </r>
    <r>
      <rPr>
        <rFont val="Poppins"/>
        <b/>
        <color theme="1"/>
      </rPr>
      <t xml:space="preserve">full de MEMÒRIA FI DE CURS d'aspectes generals </t>
    </r>
    <r>
      <rPr>
        <rFont val="Poppins"/>
        <color theme="1"/>
      </rPr>
      <t xml:space="preserve">s'ha d'emplenar </t>
    </r>
    <r>
      <rPr>
        <rFont val="Poppins"/>
        <b/>
        <color theme="1"/>
      </rPr>
      <t>manualment.</t>
    </r>
    <r>
      <rPr>
        <rFont val="Poppins"/>
        <color theme="1"/>
      </rPr>
      <t xml:space="preserve">
- Es poden </t>
    </r>
    <r>
      <rPr>
        <rFont val="Poppins"/>
        <b/>
        <color theme="1"/>
      </rPr>
      <t>afegir línies de text a la mateixa cel·la</t>
    </r>
    <r>
      <rPr>
        <rFont val="Poppins"/>
        <color theme="1"/>
      </rPr>
      <t xml:space="preserve"> fent servir la combinació de tecles </t>
    </r>
    <r>
      <rPr>
        <rFont val="Poppins"/>
        <b/>
        <color theme="1"/>
      </rPr>
      <t>CTRL-INTRO.</t>
    </r>
  </si>
  <si>
    <t>NIVELL</t>
  </si>
  <si>
    <t>RA/CP/CS</t>
  </si>
  <si>
    <t>La metodologia serà durant tot el curs dinàmica, oberta i flexible, adaptant-se al context de situació tan dels alumnes com del centre i tenint en compte l’entorn que el rodeja. A més, es fonamentarà en els principis i teories que integren els enfocaments constructivista i funcional de l’aprenentatge.
- Exposicions dels continguts a classe.
- Exercicis per treballar els continguts exposats (activitats a classe, qüestionaris, informes, recerca, tasca a casa...).
- Pràctiques individuals o en grup amb el programari més emprat del mercat o el que es consideri més didàctic. 
- Treballs d’investigació realitzats en grup o bé individualment sobre programari del que no es disposi o no sigui factible implementar dins l’aula.
- Observació dins l’aula.
- Pràctica globalitzadora (projecte) de simulació d'una empresa del sector comercial o productiu.
L’intercanvi de documentació professor/alumne es farà bàsicament a través de l’aula virtual de tal manera que tota la informació, apunts, pàgines web, fòrums, lliurament i correcció de pràctiques i treballs, etc. serà a través d’aquest mitjà.  També es faran servir les eines del GSuite corporatiu.
El lliurament per part de l’alumne de les pràctiques i treballs es realitza a través de l’aula virtual.</t>
  </si>
  <si>
    <t>RESULTAT D'APRENENTATGE/COMPETÈNCIA PERSONAL/COMPETÈNCIA SOCIAL</t>
  </si>
  <si>
    <t>% Pes RA total</t>
  </si>
  <si>
    <t>GS</t>
  </si>
  <si>
    <t>MÒDUL</t>
  </si>
  <si>
    <t>Desenvolupament web en entorn servidor</t>
  </si>
  <si>
    <t xml:space="preserve">Material, recursos, roba corporativa i equips de protecció individual (EPIs)                                                        </t>
  </si>
  <si>
    <t>% RA en empresa (entre 10% i 20%)</t>
  </si>
  <si>
    <t>CURS</t>
  </si>
  <si>
    <t>% RA al centre</t>
  </si>
  <si>
    <t>UTs on es treballa</t>
  </si>
  <si>
    <t>2n</t>
  </si>
  <si>
    <t>PROFESSOR/RA</t>
  </si>
  <si>
    <t>RA1</t>
  </si>
  <si>
    <t>David Rafael Pons Servera</t>
  </si>
  <si>
    <t>Materials i exercicis de desenvolupament pròpi.
Moodle.
Github Classrom.
Java
IDE: VSC, IntelliJ, Netbeans, eclipse, ... el que vulgui l'alumne.</t>
  </si>
  <si>
    <t>Selecciona les arquitectures i tecnologies de programació Web en entorn servidor,  analitzant  les seves capacitats i característiques pròpies</t>
  </si>
  <si>
    <t>HORES DEL MÒDUL</t>
  </si>
  <si>
    <t>TOTALS</t>
  </si>
  <si>
    <t>Atenció a la diversitat</t>
  </si>
  <si>
    <t>SETMANALS</t>
  </si>
  <si>
    <t>UNITATS DE COMPETÈNCIA TREBALLADES AL MÒDUL</t>
  </si>
  <si>
    <t>Es tendran en comptes les pautes indicades pel departament d'orientació en cada un dels casos concrets.</t>
  </si>
  <si>
    <t>Completes:
a1) Desenvolupament d'aplicacions amb tecnologia Web IFC154_3 (Real Decret 1087/2005, de 16 de setembre):
        UC0492_3 Desenvolupar elements software en entorn servidor.
        UC0493_3 Implementar, verificar i documentar aplicacions web en entorns internet, intranet i extranet.
Incompletes:
b1) Programació en llenguatges estructurats d'aplicacions de gestió IFC155_3 (Real Decret 1087/2005, de 16 de setembre)
        UC0226_3 Programar bases de dades relacionals.
b2) Programació amb llenguatges orientats a objectes i bases de dades relacionals IFC 080_3 (Real Decret. 295/2004, de 20 de febrer).
       UC0226_3 Programar bases de dades relacionals.</t>
  </si>
  <si>
    <t>OBJECTIUS GENERALS DEL CICLE ALS QUE CONTRIBUEIX LA FORMACIÓ DEL MÒDUL</t>
  </si>
  <si>
    <t>RA2</t>
  </si>
  <si>
    <t>Escriu sentències executables per un servidor Web reconeixent i aplicant procediments de integració del codi en llenguatges de marques.</t>
  </si>
  <si>
    <t xml:space="preserve">1- Instal·lar mòduls analitzant la seva estructura i funcionalitat per a gestionar servidors d'aplicacions							
2- Ajustar paràmetres analitzant la configuració per a gestionar servidors d'aplicacions							
3- Seleccionar llenguatges, objectes i eines, interpretant les especificacions per a desenvolupar aplicacions web amb accés a bases de dades							
4- Utilitzar llenguatges, objectes i eines, interpretant les especificacions per a desenvolupar aplicacions web amb accés a bases de dades							
5- Generar components d'accés a dades, complint les especificacions, per a integrar continguts en la lògica d'una aplicació web							
6- Utilitzar eines i llenguatges específics, complint les especificacions, per a desenvolupar i integrar component programari a l'entorn del servidor web							
7- Emprar eines específiques, integrant la funcionalitat entre aplicacions, per a desenvolupar serveis ocupables en aplicacions web							
8- Avaluar serveis distribuïts ja desenvolupats, verificant les seves prestacions i funcionalitat, per a integrar serveis distribuïts en una aplicació web							
9- Verificar els components de programari desenvolupat, analitzant les especificacions, per a completar el pla de proves							
10- Programar i realitzar activitats per a gestionar el manteniment dels recursos informàtics.							
11- Desenvolupar la creativitat i l'esperit d'innovació per a respondre als reptes que es presenten en els processos i organització de treball i de la vida personal							
12- Prendre decisions de forma fonamentada analitzant les variables implicades, integrant sabers de diferent àmbit i acceptant els riscos i la possibilitat d'equivocació en aquestes, per a afrontar i resoldre diferents situacions, problemes o contingències. 							</t>
  </si>
  <si>
    <t>COMPETÈNCIES DEL CICLE A LES QUE CONTRIBUEIX LA FORMACIÓ DEL MÒDUL</t>
  </si>
  <si>
    <t xml:space="preserve">Desenvolupar, implantar, i mantenir aplicacions web, amb independència del model empleat i utilitzant tecnologies específiques, garantint l'accés a les dades de forma segura i complint els criteris d'accessibilitat, usabilitat i qualitat exigits en els estàndards establerts. </t>
  </si>
  <si>
    <t>RA3</t>
  </si>
  <si>
    <t>Escriu blocs de sentències embeguts en llenguatges de marques, seleccionant i utilitzant les estructures de programació</t>
  </si>
  <si>
    <t>RA4</t>
  </si>
  <si>
    <t>Desenvolupa aplicacions Web embegudes en llenguatges de marques analitzant i incorporant funcionalitats segons especificacions.</t>
  </si>
  <si>
    <t>RA5</t>
  </si>
  <si>
    <t>Desenvolupa aplicacions Web identificant i aplicant mecanismes per a separar el codi de presentació de la lògica de negoci.</t>
  </si>
  <si>
    <t>RA6</t>
  </si>
  <si>
    <t>Desenvolupa aplicacions d’accés a magatzems de dades, aplicant mesures per a mantenir la seguretat i la integritat de la informació.</t>
  </si>
  <si>
    <t>RA7</t>
  </si>
  <si>
    <t>Desenvolupa serveis Web reutilitzables i accessibles mitjançant protocols web, verificant el seu funcionament.</t>
  </si>
  <si>
    <t>RA8</t>
  </si>
  <si>
    <t>Genera pàgines Web dinàmiques analitzant i utilitzant tecnologies del servidor Web que afegeixin codi al llenguatge de marques</t>
  </si>
  <si>
    <t>RA9</t>
  </si>
  <si>
    <t>Desenvolupa aplicacions Web híbrides seleccionant i utilitzant llibreries de codi i repositoris heterogenis  de informació</t>
  </si>
  <si>
    <t>CP</t>
  </si>
  <si>
    <t>Descripció de la competència personal</t>
  </si>
  <si>
    <t>CS</t>
  </si>
  <si>
    <t>Descripció de la competència social</t>
  </si>
  <si>
    <r>
      <rPr>
        <rFont val="Poppins"/>
        <b/>
        <color theme="1"/>
      </rPr>
      <t xml:space="preserve">TOTAL </t>
    </r>
    <r>
      <rPr>
        <rFont val="Poppins"/>
        <b val="0"/>
        <i/>
        <color theme="1"/>
      </rPr>
      <t>(ha de sumar un 100%)</t>
    </r>
    <r>
      <rPr>
        <rFont val="Poppins"/>
        <b/>
        <color theme="1"/>
      </rPr>
      <t xml:space="preserve">: </t>
    </r>
  </si>
  <si>
    <r>
      <rPr>
        <rFont val="Poppins"/>
        <color theme="1"/>
      </rPr>
      <t xml:space="preserve">Fixau-vos que:
- El </t>
    </r>
    <r>
      <rPr>
        <rFont val="Poppins"/>
        <b/>
        <color theme="1"/>
      </rPr>
      <t>% de RA en empresa</t>
    </r>
    <r>
      <rPr>
        <rFont val="Poppins"/>
        <color theme="1"/>
      </rPr>
      <t xml:space="preserve"> ha de ser el que s'ha consensuat al pla de formació FEMPO del cicle i ha de coindicir.
- Les caselles </t>
    </r>
    <r>
      <rPr>
        <rFont val="Poppins"/>
        <b/>
        <color theme="1"/>
      </rPr>
      <t>sombrejades</t>
    </r>
    <r>
      <rPr>
        <rFont val="Poppins"/>
        <color theme="1"/>
      </rPr>
      <t xml:space="preserve"> en gris fort es calculen automàticament.</t>
    </r>
  </si>
  <si>
    <t>AVALUACIÓ I QUALIFICACIÓ DEL MÒDUL PROFESSIONAL</t>
  </si>
  <si>
    <t>Com s'avaluarà</t>
  </si>
  <si>
    <t xml:space="preserve">- Per a poder superar el mòdul professional, han d'haver-se superat tots els resultats d'aprenentatge. Es considera la superació d'un mòdul quan la seva qualificació és igual o superior a 5 punts.
- Hi haurà 3 avaluacions on es treballaran els resultats d’aprenentatge definits al real decret segon l’establert a la distribució temporal.
- Cada mòdul té una convocatòria ordinària i una extraordinària per curs escolar.
- Com a mecanismes d'avaluació s'empraran pràctiques, projectes, exposicions, exàmens escrits, defensa oral, observació diària, etc.
</t>
  </si>
  <si>
    <r>
      <rPr>
        <rFont val="Poppins"/>
        <b/>
        <color rgb="FF000000"/>
        <sz val="10.0"/>
      </rPr>
      <t>Criteris de qualificació</t>
    </r>
    <r>
      <rPr>
        <rFont val="Poppins"/>
        <b val="0"/>
        <color rgb="FF000000"/>
        <sz val="10.0"/>
      </rPr>
      <t xml:space="preserve"> (com es qualificaran les diferents activitats, proves... i com s'obtindrà la qualificació final)</t>
    </r>
  </si>
  <si>
    <t xml:space="preserve">El Decret 39/2025, d’1 d’agost, d’ordenació de la formació professional a les Illes Balears, en el seu article 18 estableix el següent:
- La qualificació dels mòduls professionals i, en el seu cas, del projecte estarà en funció de la consecució dels resultats d’aprenenetatge i serà numèrica, entre u i deu, sense decimals.
- Es consideren positives les puntuacions dels mòduls professionals qualificades amb igual o superior a cinc punts.
- Cada RA té el pes establert a l’ancoratge curricular i la seva qualificació resulta de les activitats d’avaluació que hi estan associades. Cada RA s’ha de superar amb una qualificació mínima de 5. Una qualificació inferior a 5 en un RA no s’arrodoneix a 5.
- Una vegada superats tots els RA, s’aplica l’arrodoniment natural per obtenir la qualificació final del mòdul, que s’expressa sense decimals.
- Si el dia de la prova l’alumne no es presenta, es qualificarà amb un 0 sempre i quan no es justifiqui l’absència dins el termini establert per el centre i el motiu de la falta estigui contemplat com a justificada.
- En cas que per manca de temps sigui impossible veure un RA el pes que té associat s'assignarà proporcionalment a la resta de RA avaluats. 
- Plagi/còpia:La qualificació obtinguda serà de 0.
- Ús d’IA generativa: només es permet quan el professorat l’autoritzi expressament per a una activitat concreta i en les condicions que indiqui. Quan se n’autoritzi l’ús, aquest ha de ser traçable.
Per aprovar el resultat d'aprenentatge és indispensable cada un d’aquests requisits:
- Haver lliurat totes les pràctiques i treballs definits com a obligatoris i haver obtingut una qualificació d'aprovat.
- Tenir la mitjana de les proves específiques individuals aprovades amb un 5. Cada prova es puntuarà d'1 a 10. Per poder fer mitjana una prova ha de tenir com a mínim un 5.
- Les proves individuals específiques suspeses es podran recuperar mitjançant una prova final a final de curs. La nota màxima d'aquestes proves de recuperació serà un 5.
- Pràctiques i treballs: Les pràctiques, exercicis i treballs tindran la finalitat de preparació per a l'examen, no tenint ponderació a la nota.
</t>
  </si>
  <si>
    <t>Com es podrà recuperar el mòdul durant el curs?</t>
  </si>
  <si>
    <t>Es podran recuperar les activitats associades als resultats d'aprenentatge no superats mitjançant els procediments que el professor consideri necessaris i que serveixin per a comprovar l’adquisició dels mateixos.
Els exàmens no superats es recuperaran a final de curs. 
Els alumnes que puguin accedir a les proves extraordinàries, podran recuperar el mòdul o competències no assolides segons els continguts i criteris establerts al full de recuperació de pendents lliurat a l’alumne juntament amb les notes de l’avaluació ordinària, on s’indicarà a l’alumne que ha recuperar i si ha de lliurar alguna activitat per poder realitzar la prova final.  Els criteris d’avaluació seran, en qualsevol cas, els mateixos que els quals es segueixen en les avaluacions ordinàries.</t>
  </si>
  <si>
    <r>
      <rPr>
        <rFont val="Poppins"/>
        <b/>
        <color theme="1"/>
        <sz val="10.0"/>
      </rPr>
      <t>Avaluació de pendents</t>
    </r>
    <r>
      <rPr>
        <rFont val="Poppins"/>
        <b val="0"/>
        <color theme="1"/>
        <sz val="10.0"/>
      </rPr>
      <t xml:space="preserve"> (com ha de recuperar el mòdul l'alumnat que el té pendent)</t>
    </r>
  </si>
  <si>
    <r>
      <rPr>
        <rFont val="Poppins"/>
        <color theme="1"/>
      </rPr>
      <t xml:space="preserve">Es farà seguint els continguts i criteris establerts al full de recuperació de pendents lliurat a l’alumne, </t>
    </r>
    <r>
      <rPr>
        <rFont val="Poppins"/>
        <b/>
        <color theme="1"/>
      </rPr>
      <t>MDO20408 MODEL FULL DE RECUPERACIÓ DE PENDENTS.</t>
    </r>
  </si>
  <si>
    <t>ACTIVITATS COMPLEMENTÀRIES I EXTRAESCOLARS</t>
  </si>
  <si>
    <t>Si és possible es realitzarà una activitat complementària de visita a una empresa del sector i/o events relacionats amb els continguts treballats al cicle.</t>
  </si>
  <si>
    <t>INTRODUIR LES UNITATS DE TREBALL</t>
  </si>
  <si>
    <t>UNITATS DE TREBALL</t>
  </si>
  <si>
    <t>CRONOGRAMA</t>
  </si>
  <si>
    <t>HORES</t>
  </si>
  <si>
    <t>SET</t>
  </si>
  <si>
    <t>EMPLENAR CADA UNITAT DE TREBALL A UNA FULLA DIFERENT</t>
  </si>
  <si>
    <t>OCT</t>
  </si>
  <si>
    <t>NOV</t>
  </si>
  <si>
    <t>DES</t>
  </si>
  <si>
    <t>GEN</t>
  </si>
  <si>
    <t>FEB</t>
  </si>
  <si>
    <t>MAR</t>
  </si>
  <si>
    <t>ABR</t>
  </si>
  <si>
    <t>Unitat Treball</t>
  </si>
  <si>
    <t>MAI</t>
  </si>
  <si>
    <t>JUN</t>
  </si>
  <si>
    <t>1- Introducció a la programació en entorn servidor</t>
  </si>
  <si>
    <t>x</t>
  </si>
  <si>
    <t>2- Accés a dades.</t>
  </si>
  <si>
    <t>3- Serveis web</t>
  </si>
  <si>
    <t>4- Aplicacions web</t>
  </si>
  <si>
    <t>5-</t>
  </si>
  <si>
    <t>Criteris d'avaluació</t>
  </si>
  <si>
    <t>6-</t>
  </si>
  <si>
    <t>7-</t>
  </si>
  <si>
    <t>8-</t>
  </si>
  <si>
    <t>Continguts</t>
  </si>
  <si>
    <t>9-</t>
  </si>
  <si>
    <t>10-</t>
  </si>
  <si>
    <r>
      <rPr>
        <rFont val="Poppins"/>
        <b/>
        <color rgb="FF000000"/>
      </rPr>
      <t xml:space="preserve">RA </t>
    </r>
    <r>
      <rPr>
        <rFont val="Poppins"/>
        <b val="0"/>
        <i/>
        <color rgb="FF000000"/>
      </rPr>
      <t>(RA1,...)</t>
    </r>
  </si>
  <si>
    <t>11-</t>
  </si>
  <si>
    <t>Criteris d’avaluació</t>
  </si>
  <si>
    <t xml:space="preserve">12- </t>
  </si>
  <si>
    <t>HORES FEMPO DEL MÒDUL</t>
  </si>
  <si>
    <t>Selecció d'arquitectures i eines de programació:
− Models d'execució de codi en entorns client/servidor.
− Generació dinàmica de pàgines web.
− Llenguatges de programació i tecnologies associades en entorn servidor.
− Integració amb els llenguatges de marques.
− Integració amb els servidors web.
− Eines i frameworks de programació. en entorn servidor.</t>
  </si>
  <si>
    <t>HORES TOTALS DEL MÒDUL:</t>
  </si>
  <si>
    <t>a) S'han caracteritzat i diferenciat els models d'execució de codi en el servidor i en el client Web.</t>
  </si>
  <si>
    <t>b) S'han reconegut els avantatges que proporciona la generació dinàmica de pàgines.</t>
  </si>
  <si>
    <t>c) S’han identificat els mecanismes d’execució de codi en  els servidors Web</t>
  </si>
  <si>
    <t>d) S'han reconegut les funcionalitats que aporten els servidors d'aplicacions i la seva integració amb els servidors Web.</t>
  </si>
  <si>
    <t>e) S’han identificat i caracteritzat els principals llenguatges i tecnologies relacionats amb la programació Web en entorn servidor</t>
  </si>
  <si>
    <t>f) S’han verificat els mecanismes d’integració dels llenguatges de marques amb els llenguatges de programació en entorn servidor</t>
  </si>
  <si>
    <t>g) S'han reconegut i avaluat les eines i frameworks de programació en entorn servidor</t>
  </si>
  <si>
    <r>
      <rPr>
        <rFont val="Poppins"/>
        <b/>
        <color rgb="FF000000"/>
      </rPr>
      <t xml:space="preserve">RA </t>
    </r>
    <r>
      <rPr>
        <rFont val="Poppins"/>
        <b val="0"/>
        <i/>
        <color rgb="FF000000"/>
      </rPr>
      <t>(RA1,...)</t>
    </r>
  </si>
  <si>
    <t>Utilització de tècniques daccés a dades:
− Establiment de connexions.
− Recuperació i edició d'informació.
− Utilització de conjunts de resultats.
− Actualització i eliminació d'informació provinent d'una base de dades.
− Utilització d'altres orígens de dades.
− Prova i documentació.</t>
  </si>
  <si>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</si>
  <si>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t>a) S'han analitzat les tecnologies que permeten l'accés mitjançant
programació a la informació disponible a magatzems de dades.</t>
  </si>
  <si>
    <t>Data</t>
  </si>
  <si>
    <t>Activitat</t>
  </si>
  <si>
    <t>Instrument avaluació *</t>
  </si>
  <si>
    <t>Seguiment**</t>
  </si>
  <si>
    <t>b) S'han creat aplicacions que estableixin connexions amb bases de
dades.</t>
  </si>
  <si>
    <t>c) S'ha recuperat informació emmagatzemada a bases de dades.</t>
  </si>
  <si>
    <t>d) S'ha publicat en aplicacions web la informació recuperada.</t>
  </si>
  <si>
    <t>e) S'han utilitzat conjunts de dades per emmagatzemar la informació.</t>
  </si>
  <si>
    <t>f) S'han creat aplicacions web que permetin l'actualització i la
eliminació dinformació disponible en una base de dades.</t>
  </si>
  <si>
    <t>g) S'han provat i documentat les aplicacions web.</t>
  </si>
  <si>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</si>
  <si>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rgb="FF000000"/>
      </rPr>
      <t xml:space="preserve">RA </t>
    </r>
    <r>
      <rPr>
        <rFont val="Poppins"/>
        <b val="0"/>
        <i/>
        <color rgb="FF000000"/>
      </rPr>
      <t>(RA1,...)</t>
    </r>
  </si>
  <si>
    <t>Programació de serveis web:
− Tecnologies i protocols implicats.
− Estàndards i arquitectures actuals. Formats dintercanvi de dades.
− Generació d'un servei web.
− Interfície d'un servei web.
− Consum d'un servei web. Eines de prova.
− Frameworks de documentació.
Desenvolupament d'aplicacions web híbrides:
− Tecnologies i frameworks.
− Reutilització de codi i informació.
− Utilització d'informació provinent de repositoris.
− Incorporació de funcionalitats específiques.
− Utilització de llibreries de codi relacionades amb Big Data i intel·ligència de
negocis. Extracció, procés i anàlisi de dades provinents de repositoris.
− Prova, depuració i documentació.</t>
  </si>
  <si>
    <t>a) S'han reconegut les característiques pròpies i l'àmbit d'aplicació de
els serveis web.</t>
  </si>
  <si>
    <r>
      <rPr>
        <rFont val="Poppins"/>
        <b/>
        <color rgb="FF000000"/>
      </rPr>
      <t xml:space="preserve">Observacions per introduir a la memòria final de curs </t>
    </r>
    <r>
      <rPr>
        <rFont val="Poppins"/>
        <b val="0"/>
        <i/>
        <color rgb="FF000000"/>
        <sz val="8.0"/>
      </rPr>
      <t>(darrer full del document)</t>
    </r>
  </si>
  <si>
    <r>
      <rPr>
        <rFont val="Poppins"/>
        <b/>
        <color rgb="FF000000"/>
      </rPr>
      <t xml:space="preserve">Observacions per introduir a la memòria final de curs </t>
    </r>
    <r>
      <rPr>
        <rFont val="Poppins"/>
        <b val="0"/>
        <i/>
        <color rgb="FF000000"/>
        <sz val="8.0"/>
      </rPr>
      <t>(darrer full del document)</t>
    </r>
  </si>
  <si>
    <t>b) S'han reconegut els avantatges d'utilitzar serveis web per proporcionar
accés a funcionalitats incorporades a la lògica de negoci duna aplicació.</t>
  </si>
  <si>
    <t>c) S'han identificat les tecnologies i els protocols implicats en el
consum de serveis web.</t>
  </si>
  <si>
    <t>Modificacions que consideres pel curs vinent, incidències, canvi del material i recursos didàctics emprats, millorar la coordinació amb altres mòduls, valoració dels criteris de qualificació, comportament del grup ...</t>
  </si>
  <si>
    <t>d) S'han utilitzat els estàndards i arquitectures més difosos i
implicats en el desenvolupament de serveis web.</t>
  </si>
  <si>
    <t>e) S'ha programat un servei web.</t>
  </si>
  <si>
    <t>f) S'ha verificat el funcionament del servei web.</t>
  </si>
  <si>
    <t>g) S'ha consumit el servei web.</t>
  </si>
  <si>
    <t>h) S'ha documentat un servei web.</t>
  </si>
  <si>
    <t>a) S'han reconegut els avantatges que proporciona la reutilització de codi
il´aprofitament d´informació ja existent.</t>
  </si>
  <si>
    <t>b) S'han identificat tecnologies i frameworks aplicables a la creació de
aplicacions web híbrides.</t>
  </si>
  <si>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</si>
  <si>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t>c) S'ha creat una aplicació web que recuperi i processi repositoris de
informació ja existents.</t>
  </si>
  <si>
    <t xml:space="preserve">
d) S'han creat repositoris específics a partir d'informació existent a
magatzems dinformació.</t>
  </si>
  <si>
    <t>e) S'han utilitzat llibreries de codi i frameworks per incorporar
funcionalitats específiques a una aplicació web.</t>
  </si>
  <si>
    <t>f) S'han programat serveis i aplicacions web utilitzant com a base
informació i codi generats per tercers.</t>
  </si>
  <si>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</si>
  <si>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t>g) S'han analitzat i utilitzat llibreries de codi relacionades amb Big Data
i intel·ligència de negocis, per incorporar anàlisi i intel·ligència de dades
provinent de repositoris.</t>
  </si>
  <si>
    <t>h) S'han provat, depurat i documentat les aplicacions generades.</t>
  </si>
  <si>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</si>
  <si>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rgb="FF000000"/>
      </rPr>
      <t xml:space="preserve">Observacions per introduir a la memòria final de curs </t>
    </r>
    <r>
      <rPr>
        <rFont val="Poppins"/>
        <b val="0"/>
        <i/>
        <color rgb="FF000000"/>
        <sz val="8.0"/>
      </rPr>
      <t>(darrer full del document)</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</si>
  <si>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</si>
  <si>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r>
      <rPr>
        <rFont val="Poppins"/>
        <b/>
        <color rgb="FF000000"/>
      </rPr>
      <t xml:space="preserve">RA </t>
    </r>
    <r>
      <rPr>
        <rFont val="Poppins"/>
        <b val="0"/>
        <i/>
        <color rgb="FF000000"/>
      </rPr>
      <t>(RA1,...)</t>
    </r>
  </si>
  <si>
    <t xml:space="preserve">Inserció de codi a pàgines web:
− Tecnologies associades.
− Obtenció del llenguatge de marques per mostrar al client.
− Etiquetes per a inserció de codi.
− Tipus de dades. Conversions entre tipus de dades.
− Variables. Operadors. Àmbits dutilització.
Programació basada en llenguatges de marques amb codi embegut:
− Preses de decisió.
− Bucles.
− Matrius (arrays).
− Tipus de dades compostes.
− Funcions.
− Recuperació i utilització d'informació provinent del client web.
− Processament de la informació introduïda en un formulari.
− Comentaris.
Desenvolupament d'aplicacions web utilitzant codi embegut:
− Manteniment de l'estat.
− Emmagatzematge i recuperació d'informació al client web.
− Seguretat: usuaris, perfils, rols.
− Autentificació d'usuaris.
− Proves i depuració.
Generació dinàmica de pàgines web:
− Mecanismes de separació de la lògica de negoci. Frameworks web
servidor.
− Controls de servidor.
− Mecanismes de generació dinàmica de la interfície web.
− Programació orientada a objectes. Patrons de disseny.
− Prova i documentació del codi.
Generació dinàmica de pàgines web interactives:
− Tecnologies i frameworks.
− Generació dinàmica de pàgines interactives.
− Obtenció remota d'informació.
− Modificació de l'estructura i el contingut de la pàgina web.
</t>
  </si>
  <si>
    <t>a) S'han reconegut els mecanismes de generació de pàgines web a partir
de llenguatges de marques amb codi embegut.</t>
  </si>
  <si>
    <t>b) S'han identificat les principals tecnologies associades.</t>
  </si>
  <si>
    <t>c) S'han utilitzat etiquetes per a la inclusió de codi en el llenguatge de marques.</t>
  </si>
  <si>
    <t>d) S'ha reconegut la sintaxi del llenguatge de programació que s'ha de
utilitzar.</t>
  </si>
  <si>
    <t>e) S'han escrit sentències simples i se n'han comprovat els efectes en el
document resultant.</t>
  </si>
  <si>
    <t>f) S'han utilitzat directives per modificar el comportament predeterminat.</t>
  </si>
  <si>
    <t>g) S'han utilitzat els diferents tipus de variables i operadors disponibles
en el llenguatge.</t>
  </si>
  <si>
    <t>h) Shan identificat els àmbits dutilització de les variables.</t>
  </si>
  <si>
    <t>a) S'han utilitzat mecanismes de decisió en la creació de blocs de
sentències.</t>
  </si>
  <si>
    <r>
      <rPr>
        <rFont val="Poppins"/>
        <b/>
        <color rgb="FF000000"/>
      </rPr>
      <t xml:space="preserve">RA </t>
    </r>
    <r>
      <rPr>
        <rFont val="Poppins"/>
        <b val="0"/>
        <i/>
        <color rgb="FF000000"/>
      </rPr>
      <t>(RA1,...)</t>
    </r>
  </si>
  <si>
    <t>b) S'han utilitzat bucles i se n'ha verificat el funcionament.</t>
  </si>
  <si>
    <t>c) S'han utilitzat matrius (arrays) per emmagatzemar i recuperar conjunts
de dades.</t>
  </si>
  <si>
    <t>d) S'han creat i utilitzat funcions.</t>
  </si>
  <si>
    <t>e) S'han utilitzat formularis web per interactuar amb l'usuari del
navegador web.</t>
  </si>
  <si>
    <t>f) S'han emprat mètodes per recuperar la informació introduïda al
formulari.</t>
  </si>
  <si>
    <t>g) S'han afegit comentaris al codi.</t>
  </si>
  <si>
    <t>a) S'han identificat els mecanismes disponibles per al manteniment de
la informació que concerneix a un client web concret i se n'han assenyalat els
avantatges.</t>
  </si>
  <si>
    <t>b) S'han utilitzat mecanismes per mantenir l'estat de les aplicacions
web.</t>
  </si>
  <si>
    <t>c) S'han utilitzat mecanismes per emmagatzemar informació al client
web i per recuperar-ne el contingut.</t>
  </si>
  <si>
    <t>d) S'han identificat i caracteritzat els mecanismes disponibles per a la
autenticació dusuaris.</t>
  </si>
  <si>
    <t>e) S'han escrit aplicacions que integrin mecanismes d'autenticació
usuaris.</t>
  </si>
  <si>
    <t>f) S'han utilitzat eines i entorns per facilitar la programació,
prova i depuració del codi.</t>
  </si>
  <si>
    <t>a) S'han identificat els avantatges de separar la lògica de negoci dels
aspectes de presentació de laplicació.</t>
  </si>
  <si>
    <t>b) S'han analitzat i utilitzat mecanismes i frameworks que permeten
fer aquesta separació i les seves característiques principals.</t>
  </si>
  <si>
    <t>c) S'han utilitzat objectes i controls al servidor per generar l'aspecte
visual de l'aplicació web al client.</t>
  </si>
  <si>
    <t>d) S'han utilitzat formularis generats de forma dinàmica per respondre
als esdeveniments de laplicació web.</t>
  </si>
  <si>
    <t>e) S'han identificat i aplicat els paràmetres relatius a la configuració
de l'aplicació web.</t>
  </si>
  <si>
    <t>f) S'han escrit aplicacions web amb manteniment d'estat i
separació de la lògica de negoci.</t>
  </si>
  <si>
    <r>
      <rPr>
        <rFont val="Poppins"/>
        <b/>
        <color rgb="FF000000"/>
      </rPr>
      <t xml:space="preserve">RA </t>
    </r>
    <r>
      <rPr>
        <rFont val="Poppins"/>
        <b val="0"/>
        <i/>
        <color rgb="FF000000"/>
      </rPr>
      <t>(RA1,...)</t>
    </r>
  </si>
  <si>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</si>
  <si>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t>g) S'han aplicat els principis i patrons de disseny de la programació
orientada a objectes.</t>
  </si>
  <si>
    <t>h) S'ha provat i documentat el codi.</t>
  </si>
  <si>
    <t>a) S'han identificat les diferències entre l'execució de codi al
servidor i al client web.</t>
  </si>
  <si>
    <t>b) S'han reconegut els avantatges d'unir ambdues tecnologies en el procés
desenvolupament de programes.</t>
  </si>
  <si>
    <t>c) S'han identificat les tecnologies i frameworks relacionades amb la
generació per part del servidor de pàgines web amb guions encastats.</t>
  </si>
  <si>
    <t>d) S'han utilitzat aquestes tecnologies i frameworks per generar pàgines
web que incloguin interacció amb l'usuari.</t>
  </si>
  <si>
    <t>e) S'han utilitzat aquestes tecnologies i frameworks, per generar pàgines
web que incloguin verificació de formularis.</t>
  </si>
  <si>
    <t>f) S'han utilitzat aquestes tecnologies i frameworks per generar pàgines web
que incloguin modificació dinàmica del contingut i l'estructura.</t>
  </si>
  <si>
    <r>
      <rPr>
        <rFont val="Poppins"/>
        <b/>
        <color rgb="FF000000"/>
      </rPr>
      <t xml:space="preserve">RA </t>
    </r>
    <r>
      <rPr>
        <rFont val="Poppins"/>
        <b val="0"/>
        <i/>
        <color rgb="FF000000"/>
      </rPr>
      <t>(RA1,...)</t>
    </r>
  </si>
  <si>
    <t>g) S'han aplicat aquestes tecnologies i frameworks a la programació de
aplicacions web.</t>
  </si>
  <si>
    <r>
      <rPr>
        <rFont val="Poppins"/>
        <b/>
        <color rgb="FF000000"/>
      </rPr>
      <t xml:space="preserve">Observacions per introduir a la memòria final de curs </t>
    </r>
    <r>
      <rPr>
        <rFont val="Poppins"/>
        <b val="0"/>
        <i/>
        <color rgb="FF000000"/>
        <sz val="8.0"/>
      </rPr>
      <t>(darrer full del document)</t>
    </r>
  </si>
  <si>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</si>
  <si>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</si>
  <si>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</si>
  <si>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r>
      <rPr>
        <rFont val="Poppins"/>
        <b/>
        <color rgb="FF000000"/>
      </rPr>
      <t xml:space="preserve">Observacions per introduir a la memòria final de curs </t>
    </r>
    <r>
      <rPr>
        <rFont val="Poppins"/>
        <b val="0"/>
        <i/>
        <color rgb="FF000000"/>
        <sz val="8.0"/>
      </rPr>
      <t>(darrer full del document)</t>
    </r>
  </si>
  <si>
    <r>
      <rPr>
        <rFont val="Poppins"/>
        <b/>
        <color rgb="FF000000"/>
      </rPr>
      <t xml:space="preserve">Observacions per introduir a la memòria final de curs </t>
    </r>
    <r>
      <rPr>
        <rFont val="Poppins"/>
        <b val="0"/>
        <i/>
        <color rgb="FF000000"/>
        <sz val="8.0"/>
      </rPr>
      <t>(darrer full del document)</t>
    </r>
  </si>
  <si>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</si>
  <si>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</si>
  <si>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</si>
  <si>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r>
      <rPr>
        <rFont val="Poppins"/>
        <b/>
        <color rgb="FF000000"/>
      </rPr>
      <t xml:space="preserve">Observacions per introduir a la memòria final de curs </t>
    </r>
    <r>
      <rPr>
        <rFont val="Poppins"/>
        <b val="0"/>
        <i/>
        <color rgb="FF000000"/>
        <sz val="8.0"/>
      </rPr>
      <t>(darrer full del document)</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</si>
  <si>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</si>
  <si>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r>
      <rPr>
        <rFont val="Poppins"/>
        <b/>
        <color rgb="FF000000"/>
      </rPr>
      <t xml:space="preserve">RA </t>
    </r>
    <r>
      <rPr>
        <rFont val="Poppins"/>
        <b val="0"/>
        <i/>
        <color rgb="FF000000"/>
      </rPr>
      <t>(RA1,...)</t>
    </r>
  </si>
  <si>
    <r>
      <rPr>
        <rFont val="Poppins"/>
        <b/>
        <color rgb="FF000000"/>
      </rPr>
      <t xml:space="preserve">RA </t>
    </r>
    <r>
      <rPr>
        <rFont val="Poppins"/>
        <b val="0"/>
        <i/>
        <color rgb="FF000000"/>
      </rPr>
      <t>(RA1,...)</t>
    </r>
  </si>
  <si>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</si>
  <si>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rgb="FF000000"/>
      </rPr>
      <t xml:space="preserve">RA </t>
    </r>
    <r>
      <rPr>
        <rFont val="Poppins"/>
        <b val="0"/>
        <i/>
        <color rgb="FF000000"/>
      </rPr>
      <t>(RA1,...)</t>
    </r>
  </si>
  <si>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</si>
  <si>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rgb="FF000000"/>
      </rPr>
      <t xml:space="preserve">Observacions per introduir a la memòria final de curs </t>
    </r>
    <r>
      <rPr>
        <rFont val="Poppins"/>
        <b val="0"/>
        <i/>
        <color rgb="FF000000"/>
        <sz val="8.0"/>
      </rPr>
      <t>(darrer full del document)</t>
    </r>
  </si>
  <si>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</si>
  <si>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</si>
  <si>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r>
      <rPr>
        <rFont val="Poppins"/>
        <b/>
        <color rgb="FF000000"/>
      </rPr>
      <t xml:space="preserve">Observacions per introduir a la memòria final de curs </t>
    </r>
    <r>
      <rPr>
        <rFont val="Poppins"/>
        <b val="0"/>
        <i/>
        <color rgb="FF000000"/>
        <sz val="8.0"/>
      </rPr>
      <t>(darrer full del document)</t>
    </r>
  </si>
  <si>
    <r>
      <rPr>
        <rFont val="Poppins"/>
        <b/>
        <color rgb="FF000000"/>
      </rPr>
      <t xml:space="preserve">Observacions per introduir a la memòria final de curs </t>
    </r>
    <r>
      <rPr>
        <rFont val="Poppins"/>
        <b val="0"/>
        <i/>
        <color rgb="FF000000"/>
        <sz val="8.0"/>
      </rPr>
      <t>(darrer full del document)</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</si>
  <si>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</si>
  <si>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</si>
  <si>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r>
      <rPr>
        <rFont val="Poppins"/>
        <b/>
        <color rgb="FF000000"/>
      </rPr>
      <t xml:space="preserve">RA </t>
    </r>
    <r>
      <rPr>
        <rFont val="Poppins"/>
        <b val="0"/>
        <i/>
        <color rgb="FF000000"/>
      </rPr>
      <t>(RA1,...)</t>
    </r>
  </si>
  <si>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</si>
  <si>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r>
      <rPr>
        <rFont val="Poppins"/>
        <b/>
        <color rgb="FF000000"/>
      </rPr>
      <t xml:space="preserve">RA </t>
    </r>
    <r>
      <rPr>
        <rFont val="Poppins"/>
        <b val="0"/>
        <i/>
        <color rgb="FF000000"/>
      </rPr>
      <t>(RA1,...)</t>
    </r>
  </si>
  <si>
    <r>
      <rPr>
        <rFont val="Poppins"/>
        <b/>
        <color rgb="FF000000"/>
      </rPr>
      <t xml:space="preserve">Observacions per introduir a la memòria final de curs </t>
    </r>
    <r>
      <rPr>
        <rFont val="Poppins"/>
        <b val="0"/>
        <i/>
        <color rgb="FF000000"/>
        <sz val="8.0"/>
      </rPr>
      <t>(darrer full del document)</t>
    </r>
  </si>
  <si>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</si>
  <si>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t>REVISIÓ DE LA PROGRAMACIÓ - MEMÒRIA FI DE CURS</t>
  </si>
  <si>
    <t>ASPECTES GENERALS</t>
  </si>
  <si>
    <t xml:space="preserve">Tot l'alumnat a excepció d'un va superar el mòdul. La prova diagnòstica inicial de programació va ser molt informativa, ja que precissament l'únic alumne que la va deixar buida va ser el que no va superar el mòdul. Malgrat el suport, duia massa endarreriment en programació. </t>
  </si>
  <si>
    <r>
      <rPr>
        <rFont val="Poppins"/>
        <b/>
        <color rgb="FF000000"/>
      </rPr>
      <t xml:space="preserve">Activitats d’ensenyament-aprenentatge </t>
    </r>
    <r>
      <rPr>
        <rFont val="Poppins"/>
        <b val="0"/>
        <i/>
        <color rgb="FF000000"/>
        <sz val="9.0"/>
      </rPr>
      <t>(treballs, proves teòriques, proves pràctiques, exposicions, tasques...</t>
    </r>
    <r>
      <rPr>
        <rFont val="Poppins"/>
        <b val="0"/>
        <color rgb="FF000000"/>
        <sz val="8.0"/>
      </rPr>
      <t>)</t>
    </r>
  </si>
  <si>
    <t>UNITAT DE TREBALL 1</t>
  </si>
  <si>
    <r>
      <rPr>
        <rFont val="Poppins"/>
        <b/>
        <color rgb="FF000000"/>
      </rPr>
      <t xml:space="preserve">Observacions per introduir a la memòria final de curs </t>
    </r>
    <r>
      <rPr>
        <rFont val="Poppins"/>
        <b val="0"/>
        <i/>
        <color rgb="FF000000"/>
        <sz val="8.0"/>
      </rPr>
      <t>(darrer full del document)</t>
    </r>
  </si>
  <si>
    <t>UNITAT DE TREBALL 2</t>
  </si>
  <si>
    <r>
      <rPr>
        <rFont val="Poppins"/>
        <b/>
        <color theme="1"/>
      </rPr>
      <t>Fixau-vos que:</t>
    </r>
    <r>
      <rPr>
        <rFont val="Poppins"/>
        <color theme="1"/>
      </rPr>
      <t xml:space="preserve">
- El </t>
    </r>
    <r>
      <rPr>
        <rFont val="Poppins"/>
        <b/>
        <color theme="1"/>
      </rPr>
      <t>títol</t>
    </r>
    <r>
      <rPr>
        <rFont val="Poppins"/>
        <color theme="1"/>
      </rPr>
      <t xml:space="preserve"> de la Unitat de Treball i les </t>
    </r>
    <r>
      <rPr>
        <rFont val="Poppins"/>
        <b/>
        <color theme="1"/>
      </rPr>
      <t>hores</t>
    </r>
    <r>
      <rPr>
        <rFont val="Poppins"/>
        <color theme="1"/>
      </rPr>
      <t xml:space="preserve"> s'emplenen </t>
    </r>
    <r>
      <rPr>
        <rFont val="Poppins"/>
        <b/>
        <color theme="1"/>
      </rPr>
      <t>automàticament</t>
    </r>
    <r>
      <rPr>
        <rFont val="Poppins"/>
        <color theme="1"/>
      </rPr>
      <t xml:space="preserve"> de les dades introduïdes al full 6-Distribució temporal.
- A l'apartat d'</t>
    </r>
    <r>
      <rPr>
        <rFont val="Poppins"/>
        <b/>
        <color theme="1"/>
      </rPr>
      <t xml:space="preserve">activitats d'ensenyament-aprenentatge:
</t>
    </r>
    <r>
      <rPr>
        <rFont val="Poppins"/>
        <color theme="1"/>
      </rPr>
      <t xml:space="preserve">      - Instrument d'avaluació*:  pot ser una prova escrita, una rúbrica, una prova oral, un qüestionari, una pràctica, un treball...
      - Seguiment**:  només s'ha d'emplenar si es fa servir el document com a QUADERN de professor, en tal cas, s'anotaran les incidències/observacions que es considerin oportunes. </t>
    </r>
  </si>
  <si>
    <t>UNITAT DE TREBALL 3</t>
  </si>
  <si>
    <t>UNITAT DE TREBALL 4</t>
  </si>
  <si>
    <t>UNITAT DE TREBALL 5</t>
  </si>
  <si>
    <t>UNITAT DE TREBALL 6</t>
  </si>
  <si>
    <t>UNITAT DE TREBALL 7</t>
  </si>
  <si>
    <t>UNITAT DE TREBALL 8</t>
  </si>
  <si>
    <t>UNITAT DE TREBALL 9</t>
  </si>
  <si>
    <t>UNITAT DE TREBALL 10</t>
  </si>
  <si>
    <t>UNITAT DE TREBALL 11</t>
  </si>
  <si>
    <t>UNITAT DE TREBALL 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</si>
</sst>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26">
    <font>
      <sz val="10.0"/>
      <color rgb="FF000000"/>
      <name val="Arial"/>
      <scheme val="minor"/>
    </font>
    <font>
      <color theme="1"/>
      <name val="Arial"/>
    </font>
    <font>
      <b/>
      <sz val="12.0"/>
      <color rgb="FFFFFFFF"/>
      <name val="Poppins"/>
    </font>
    <font>
      <b/>
      <sz val="18.0"/>
      <color rgb="FF175F16"/>
      <name val="Poppins"/>
    </font>
    <font/>
    <font>
      <b/>
      <color theme="1"/>
      <name val="Poppins"/>
    </font>
    <font>
      <sz val="12.0"/>
      <color theme="1"/>
      <name val="Arial"/>
    </font>
    <font>
      <b/>
      <color rgb="FF000000"/>
      <name val="Poppins"/>
    </font>
    <font>
      <b/>
      <sz val="10.0"/>
      <color rgb="FF00000A"/>
      <name val="Poppins"/>
    </font>
    <font>
      <color theme="1"/>
      <name val="Poppins"/>
    </font>
    <font>
      <b/>
      <color rgb="FFFFFFFF"/>
      <name val="Poppins"/>
    </font>
    <font>
      <b/>
      <color rgb="FF00000A"/>
      <name val="Poppins"/>
    </font>
    <font>
      <b/>
      <sz val="10.0"/>
      <color theme="1"/>
      <name val="Poppins"/>
    </font>
    <font>
      <i/>
      <color rgb="FF000000"/>
      <name val="Poppins"/>
    </font>
    <font>
      <color rgb="FF000000"/>
      <name val="Poppins"/>
    </font>
    <font>
      <b/>
      <sz val="10.0"/>
      <color rgb="FF000000"/>
      <name val="Poppins"/>
    </font>
    <font>
      <sz val="10.0"/>
      <color rgb="FF000000"/>
      <name val="Poppins"/>
    </font>
    <font>
      <sz val="10.0"/>
      <color theme="1"/>
      <name val="Poppins"/>
    </font>
    <font>
      <b/>
      <sz val="9.0"/>
      <color rgb="FF000000"/>
      <name val="Poppins"/>
    </font>
    <font>
      <b/>
      <sz val="12.0"/>
      <color rgb="FF000000"/>
      <name val="Poppins"/>
    </font>
    <font>
      <sz val="11.0"/>
      <color rgb="FF000000"/>
      <name val="Poppins"/>
    </font>
    <font>
      <sz val="11.0"/>
      <color rgb="FF000000"/>
      <name val="Inconsolata"/>
    </font>
    <font>
      <b/>
      <sz val="12.0"/>
      <color theme="1"/>
      <name val="Poppins"/>
    </font>
    <font>
      <color theme="1"/>
      <name val="Arial"/>
      <scheme val="minor"/>
    </font>
    <font>
      <i/>
      <color theme="1"/>
      <name val="Poppins"/>
    </font>
    <font>
      <i/>
      <sz val="10.0"/>
      <color rgb="FF00000A"/>
      <name val="Poppins"/>
    </font>
  </fonts>
  <fills count="11">
    <fill>
      <patternFill patternType="none"/>
    </fill>
    <fill>
      <patternFill patternType="lightGray"/>
    </fill>
    <fill>
      <patternFill patternType="solid">
        <fgColor rgb="FFCCCCCC"/>
        <bgColor rgb="FFCCCCCC"/>
      </patternFill>
    </fill>
    <fill>
      <patternFill patternType="solid">
        <fgColor rgb="FF175F16"/>
        <bgColor rgb="FF175F16"/>
      </patternFill>
    </fill>
    <fill>
      <patternFill patternType="solid">
        <fgColor rgb="FFEFEFEF"/>
        <bgColor rgb="FFEFEFEF"/>
      </patternFill>
    </fill>
    <fill>
      <patternFill patternType="solid">
        <fgColor rgb="FF32CD33"/>
        <bgColor rgb="FF32CD33"/>
      </patternFill>
    </fill>
    <fill>
      <patternFill patternType="solid">
        <fgColor rgb="FFF4CCCC"/>
        <bgColor rgb="FFF4CCCC"/>
      </patternFill>
    </fill>
    <fill>
      <patternFill patternType="solid">
        <fgColor rgb="FFD9D9D9"/>
        <bgColor rgb="FFD9D9D9"/>
      </patternFill>
    </fill>
    <fill>
      <patternFill patternType="solid">
        <fgColor rgb="FFFFFFFF"/>
        <bgColor rgb="FFFFFFFF"/>
      </patternFill>
    </fill>
    <fill>
      <patternFill patternType="solid">
        <fgColor rgb="FFB7B7B7"/>
        <bgColor rgb="FFB7B7B7"/>
      </patternFill>
    </fill>
    <fill>
      <patternFill patternType="solid">
        <fgColor rgb="FFD5A6BD"/>
        <bgColor rgb="FFD5A6BD"/>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xf>
    <xf borderId="0" fillId="2" fontId="3" numFmtId="0" xfId="0" applyAlignment="1" applyFill="1" applyFont="1">
      <alignment textRotation="255" vertical="center"/>
    </xf>
    <xf borderId="2" fillId="0" fontId="4" numFmtId="0" xfId="0" applyBorder="1" applyFont="1"/>
    <xf borderId="3" fillId="0" fontId="4" numFmtId="0" xfId="0" applyBorder="1" applyFont="1"/>
    <xf borderId="0" fillId="0" fontId="2" numFmtId="0" xfId="0" applyAlignment="1" applyFont="1">
      <alignment horizontal="center"/>
    </xf>
    <xf borderId="1" fillId="3" fontId="2" numFmtId="0" xfId="0" applyAlignment="1" applyBorder="1" applyFill="1" applyFont="1">
      <alignment horizontal="center" readingOrder="0"/>
    </xf>
    <xf borderId="1" fillId="0" fontId="5" numFmtId="0" xfId="0" applyAlignment="1" applyBorder="1" applyFont="1">
      <alignment horizontal="right" readingOrder="0" shrinkToFit="0" vertical="center" wrapText="1"/>
    </xf>
    <xf borderId="4" fillId="4" fontId="5" numFmtId="0" xfId="0" applyBorder="1" applyFill="1" applyFont="1"/>
    <xf borderId="1" fillId="3" fontId="2" numFmtId="0" xfId="0" applyAlignment="1" applyBorder="1" applyFill="1" applyFont="1">
      <alignment horizontal="center"/>
    </xf>
    <xf borderId="1" fillId="0" fontId="5" numFmtId="0" xfId="0" applyAlignment="1" applyBorder="1" applyFont="1">
      <alignment horizontal="left" readingOrder="0" shrinkToFit="0" vertical="center" wrapText="1"/>
    </xf>
    <xf borderId="1" fillId="0" fontId="6" numFmtId="0" xfId="0" applyAlignment="1" applyBorder="1" applyFont="1">
      <alignment readingOrder="0"/>
    </xf>
    <xf borderId="0" fillId="0" fontId="7" numFmtId="0" xfId="0" applyAlignment="1" applyFont="1">
      <alignment horizontal="center"/>
    </xf>
    <xf borderId="5" fillId="5" fontId="8" numFmtId="0" xfId="0" applyBorder="1" applyFill="1" applyFont="1"/>
    <xf borderId="1" fillId="0" fontId="9" numFmtId="0" xfId="0" applyAlignment="1" applyBorder="1" applyFont="1">
      <alignment horizontal="left" readingOrder="0"/>
    </xf>
    <xf borderId="5" fillId="0" fontId="4" numFmtId="0" xfId="0" applyBorder="1" applyFont="1"/>
    <xf borderId="6" fillId="6" fontId="9" numFmtId="0" xfId="0" applyAlignment="1" applyBorder="1" applyFill="1" applyFont="1">
      <alignment readingOrder="0" shrinkToFit="0" vertical="center" wrapText="1"/>
    </xf>
    <xf borderId="0" fillId="3" fontId="10" numFmtId="0" xfId="0" applyAlignment="1" applyFill="1" applyFont="1">
      <alignment readingOrder="0" vertical="bottom"/>
    </xf>
    <xf borderId="7" fillId="0" fontId="4" numFmtId="0" xfId="0" applyBorder="1" applyFont="1"/>
    <xf borderId="8" fillId="0" fontId="4" numFmtId="0" xfId="0" applyBorder="1" applyFont="1"/>
    <xf borderId="4" fillId="7" fontId="5" numFmtId="0" xfId="0" applyBorder="1" applyFill="1" applyFont="1"/>
    <xf borderId="9" fillId="0" fontId="4" numFmtId="0" xfId="0" applyBorder="1" applyFont="1"/>
    <xf borderId="10" fillId="0" fontId="4" numFmtId="0" xfId="0" applyBorder="1" applyFont="1"/>
    <xf borderId="4" fillId="5" fontId="11" numFmtId="0" xfId="0" applyAlignment="1" applyBorder="1" applyFill="1" applyFont="1">
      <alignment readingOrder="0" shrinkToFit="0" vertical="center" wrapText="1"/>
    </xf>
    <xf borderId="11" fillId="0" fontId="4" numFmtId="0" xfId="0" applyBorder="1" applyFont="1"/>
    <xf borderId="1" fillId="0" fontId="9" numFmtId="0" xfId="0" applyAlignment="1" applyBorder="1" applyFont="1">
      <alignment readingOrder="0" shrinkToFit="0" vertical="top" wrapText="1"/>
    </xf>
    <xf borderId="12" fillId="0" fontId="4" numFmtId="0" xfId="0" applyBorder="1" applyFont="1"/>
    <xf borderId="4" fillId="0" fontId="9" numFmtId="0" xfId="0" applyAlignment="1" applyBorder="1" applyFont="1">
      <alignment readingOrder="0"/>
    </xf>
    <xf borderId="3" fillId="5" fontId="11" numFmtId="0" xfId="0" applyAlignment="1" applyBorder="1" applyFill="1" applyFont="1">
      <alignment horizontal="center" readingOrder="0" shrinkToFit="0" vertical="center" wrapText="1"/>
    </xf>
    <xf borderId="1" fillId="5" fontId="11" numFmtId="0" xfId="0" applyAlignment="1" applyBorder="1" applyFill="1" applyFont="1">
      <alignment horizontal="center" readingOrder="0" shrinkToFit="0" vertical="center" wrapText="1"/>
    </xf>
    <xf borderId="1" fillId="5" fontId="12" numFmtId="0" xfId="0" applyAlignment="1" applyBorder="1" applyFill="1" applyFont="1">
      <alignment readingOrder="0"/>
    </xf>
    <xf borderId="4" fillId="5" fontId="11" numFmtId="0" xfId="0" applyAlignment="1" applyBorder="1" applyFill="1" applyFont="1">
      <alignment horizontal="center" readingOrder="0" shrinkToFit="0" vertical="center" wrapText="1"/>
    </xf>
    <xf borderId="3" fillId="0" fontId="9" numFmtId="0" xfId="0" applyAlignment="1" applyBorder="1" applyFont="1">
      <alignment readingOrder="0"/>
    </xf>
    <xf borderId="4" fillId="8" fontId="7" numFmtId="0" xfId="0" applyAlignment="1" applyBorder="1" applyFill="1" applyFont="1">
      <alignment horizontal="center" readingOrder="0" shrinkToFit="0" wrapText="1"/>
    </xf>
    <xf borderId="4" fillId="8" fontId="13" numFmtId="0" xfId="0" applyAlignment="1" applyBorder="1" applyFill="1" applyFont="1">
      <alignment readingOrder="0" shrinkToFit="0" wrapText="1"/>
    </xf>
    <xf borderId="4" fillId="8" fontId="14" numFmtId="0" xfId="0" applyAlignment="1" applyBorder="1" applyFill="1" applyFont="1">
      <alignment readingOrder="0" shrinkToFit="0" wrapText="1"/>
    </xf>
    <xf borderId="1" fillId="0" fontId="9" numFmtId="0" xfId="0" applyAlignment="1" applyBorder="1" applyFont="1">
      <alignment horizontal="center" readingOrder="0"/>
    </xf>
    <xf borderId="4" fillId="0" fontId="9" numFmtId="0" xfId="0" applyBorder="1" applyFont="1"/>
    <xf borderId="1" fillId="5" fontId="12" numFmtId="0" xfId="0" applyBorder="1" applyFill="1" applyFont="1"/>
    <xf borderId="6" fillId="0" fontId="9" numFmtId="0" xfId="0" applyAlignment="1" applyBorder="1" applyFont="1">
      <alignment readingOrder="0" shrinkToFit="0" vertical="top" wrapText="1"/>
    </xf>
    <xf borderId="4" fillId="9" fontId="9" numFmtId="0" xfId="0" applyBorder="1" applyFill="1" applyFont="1"/>
    <xf borderId="1" fillId="5" fontId="5" numFmtId="0" xfId="0" applyAlignment="1" applyBorder="1" applyFill="1" applyFont="1">
      <alignment readingOrder="0"/>
    </xf>
    <xf borderId="4" fillId="4" fontId="7" numFmtId="0" xfId="0" applyAlignment="1" applyBorder="1" applyFill="1" applyFont="1">
      <alignment horizontal="center" readingOrder="0" shrinkToFit="0" wrapText="1"/>
    </xf>
    <xf borderId="4" fillId="4" fontId="13" numFmtId="0" xfId="0" applyAlignment="1" applyBorder="1" applyFill="1" applyFont="1">
      <alignment readingOrder="0" shrinkToFit="0" wrapText="1"/>
    </xf>
    <xf borderId="4" fillId="4" fontId="14" numFmtId="0" xfId="0" applyAlignment="1" applyBorder="1" applyFill="1" applyFont="1">
      <alignment readingOrder="0" shrinkToFit="0" wrapText="1"/>
    </xf>
    <xf borderId="4" fillId="4" fontId="9" numFmtId="0" xfId="0" applyBorder="1" applyFill="1" applyFont="1"/>
    <xf borderId="4" fillId="4" fontId="9" numFmtId="0" xfId="0" applyAlignment="1" applyBorder="1" applyFill="1" applyFont="1">
      <alignment readingOrder="0"/>
    </xf>
    <xf borderId="4" fillId="8" fontId="9" numFmtId="0" xfId="0" applyAlignment="1" applyBorder="1" applyFill="1" applyFont="1">
      <alignment readingOrder="0"/>
    </xf>
    <xf borderId="4" fillId="0" fontId="9" numFmtId="0" xfId="0" applyAlignment="1" applyBorder="1" applyFont="1">
      <alignment readingOrder="0"/>
    </xf>
    <xf borderId="4" fillId="8" fontId="9" numFmtId="0" xfId="0" applyAlignment="1" applyBorder="1" applyFill="1" applyFont="1">
      <alignment readingOrder="0" vertical="bottom"/>
    </xf>
    <xf borderId="4" fillId="4" fontId="9" numFmtId="0" xfId="0" applyAlignment="1" applyBorder="1" applyFill="1" applyFont="1">
      <alignment readingOrder="0" vertical="bottom"/>
    </xf>
    <xf borderId="4" fillId="0" fontId="9" numFmtId="0" xfId="0" applyBorder="1" applyFont="1"/>
    <xf borderId="0" fillId="0" fontId="5" numFmtId="0" xfId="0" applyAlignment="1" applyFont="1">
      <alignment horizontal="right" readingOrder="0"/>
    </xf>
    <xf borderId="4" fillId="9" fontId="5" numFmtId="0" xfId="0" applyBorder="1" applyFill="1" applyFont="1"/>
    <xf borderId="6" fillId="6" fontId="9" numFmtId="0" xfId="0" applyAlignment="1" applyBorder="1" applyFill="1" applyFont="1">
      <alignment readingOrder="0" vertical="top"/>
    </xf>
    <xf borderId="5" fillId="5" fontId="8" numFmtId="0" xfId="0" applyAlignment="1" applyBorder="1" applyFill="1" applyFont="1">
      <alignment readingOrder="0"/>
    </xf>
    <xf borderId="1" fillId="0" fontId="14" numFmtId="0" xfId="0" applyAlignment="1" applyBorder="1" applyFont="1">
      <alignment readingOrder="0" shrinkToFit="0" vertical="top" wrapText="1"/>
    </xf>
    <xf borderId="1" fillId="5" fontId="15" numFmtId="0" xfId="0" applyAlignment="1" applyBorder="1" applyFill="1" applyFont="1">
      <alignment readingOrder="0"/>
    </xf>
    <xf borderId="1" fillId="0" fontId="16" numFmtId="0" xfId="0" applyAlignment="1" applyBorder="1" applyFont="1">
      <alignment readingOrder="0" shrinkToFit="0" vertical="top" wrapText="1"/>
    </xf>
    <xf borderId="1" fillId="8" fontId="17" numFmtId="0" xfId="0" applyAlignment="1" applyBorder="1" applyFill="1" applyFont="1">
      <alignment readingOrder="0" shrinkToFit="0" wrapText="1"/>
    </xf>
    <xf borderId="0" fillId="0" fontId="9" numFmtId="0" xfId="0" applyAlignment="1" applyFont="1">
      <alignment horizontal="center"/>
    </xf>
    <xf borderId="1" fillId="10" fontId="7" numFmtId="0" xfId="0" applyAlignment="1" applyBorder="1" applyFill="1" applyFont="1">
      <alignment horizontal="center" shrinkToFit="0" wrapText="1"/>
    </xf>
    <xf borderId="13" fillId="5" fontId="7" numFmtId="0" xfId="0" applyAlignment="1" applyBorder="1" applyFill="1" applyFont="1">
      <alignment horizontal="center" shrinkToFit="0" wrapText="1"/>
    </xf>
    <xf borderId="1" fillId="5" fontId="7" numFmtId="0" xfId="0" applyAlignment="1" applyBorder="1" applyFill="1" applyFont="1">
      <alignment horizontal="center" shrinkToFit="0" wrapText="1"/>
    </xf>
    <xf borderId="1" fillId="8" fontId="7" numFmtId="0" xfId="0" applyAlignment="1" applyBorder="1" applyFill="1" applyFont="1">
      <alignment horizontal="center" shrinkToFit="0" vertical="center" wrapText="1"/>
    </xf>
    <xf borderId="14" fillId="0" fontId="4" numFmtId="0" xfId="0" applyBorder="1" applyFont="1"/>
    <xf borderId="4" fillId="7" fontId="18" numFmtId="0" xfId="0" applyAlignment="1" applyBorder="1" applyFill="1" applyFont="1">
      <alignment horizontal="left" shrinkToFit="0" wrapText="1"/>
    </xf>
    <xf borderId="0" fillId="10" fontId="7" numFmtId="0" xfId="0" applyAlignment="1" applyFill="1" applyFont="1">
      <alignment horizontal="left" shrinkToFit="0" vertical="center" wrapText="1"/>
    </xf>
    <xf borderId="4" fillId="5" fontId="7" numFmtId="0" xfId="0" applyAlignment="1" applyBorder="1" applyFill="1" applyFont="1">
      <alignment horizontal="center" readingOrder="0" shrinkToFit="0" vertical="top" wrapText="1"/>
    </xf>
    <xf borderId="4" fillId="7" fontId="16" numFmtId="0" xfId="0" applyAlignment="1" applyBorder="1" applyFill="1" applyFont="1">
      <alignment horizontal="left" readingOrder="0" shrinkToFit="0" wrapText="1"/>
    </xf>
    <xf borderId="4" fillId="0" fontId="17" numFmtId="0" xfId="0" applyAlignment="1" applyBorder="1" applyFont="1">
      <alignment horizontal="left" readingOrder="0" shrinkToFit="0" wrapText="1"/>
    </xf>
    <xf borderId="4" fillId="0" fontId="17" numFmtId="0" xfId="0" applyAlignment="1" applyBorder="1" applyFont="1">
      <alignment horizontal="left" shrinkToFit="0" wrapText="1"/>
    </xf>
    <xf borderId="4" fillId="0" fontId="12" numFmtId="0" xfId="0" applyAlignment="1" applyBorder="1" applyFont="1">
      <alignment horizontal="right" readingOrder="0" shrinkToFit="0" wrapText="1"/>
    </xf>
    <xf borderId="1" fillId="9" fontId="7" numFmtId="0" xfId="0" applyAlignment="1" applyBorder="1" applyFill="1" applyFont="1">
      <alignment horizontal="left" shrinkToFit="0" vertical="top" wrapText="1"/>
    </xf>
    <xf borderId="4" fillId="7" fontId="16" numFmtId="0" xfId="0" applyAlignment="1" applyBorder="1" applyFill="1" applyFont="1">
      <alignment horizontal="left" shrinkToFit="0" wrapText="1"/>
    </xf>
    <xf borderId="3" fillId="9" fontId="7" numFmtId="0" xfId="0" applyAlignment="1" applyBorder="1" applyFill="1" applyFont="1">
      <alignment horizontal="left" shrinkToFit="0" vertical="top" wrapText="1"/>
    </xf>
    <xf borderId="4" fillId="0" fontId="12" numFmtId="0" xfId="0" applyAlignment="1" applyBorder="1" applyFont="1">
      <alignment horizontal="right" shrinkToFit="0" wrapText="1"/>
    </xf>
    <xf borderId="1" fillId="7" fontId="7" numFmtId="0" xfId="0" applyAlignment="1" applyBorder="1" applyFill="1" applyFont="1">
      <alignment horizontal="left" readingOrder="0" shrinkToFit="0" vertical="top" wrapText="1"/>
    </xf>
    <xf borderId="8" fillId="0" fontId="17" numFmtId="0" xfId="0" applyAlignment="1" applyBorder="1" applyFont="1">
      <alignment horizontal="left" shrinkToFit="0" wrapText="1"/>
    </xf>
    <xf borderId="4" fillId="7" fontId="7" numFmtId="0" xfId="0" applyAlignment="1" applyBorder="1" applyFill="1" applyFont="1">
      <alignment horizontal="left" readingOrder="0" shrinkToFit="0" vertical="top" wrapText="1"/>
    </xf>
    <xf borderId="8" fillId="0" fontId="12" numFmtId="0" xfId="0" applyAlignment="1" applyBorder="1" applyFont="1">
      <alignment horizontal="right" shrinkToFit="0" wrapText="1"/>
    </xf>
    <xf borderId="4" fillId="7" fontId="7" numFmtId="0" xfId="0" applyAlignment="1" applyBorder="1" applyFill="1" applyFont="1">
      <alignment horizontal="left" shrinkToFit="0" vertical="top" wrapText="1"/>
    </xf>
    <xf borderId="4" fillId="7" fontId="19" numFmtId="0" xfId="0" applyAlignment="1" applyBorder="1" applyFill="1" applyFont="1">
      <alignment horizontal="right" readingOrder="0" shrinkToFit="0" wrapText="1"/>
    </xf>
    <xf borderId="6" fillId="8" fontId="20" numFmtId="0" xfId="0" applyAlignment="1" applyBorder="1" applyFill="1" applyFont="1">
      <alignment readingOrder="0" shrinkToFit="0" vertical="top" wrapText="1"/>
    </xf>
    <xf borderId="4" fillId="8" fontId="21" numFmtId="0" xfId="0" applyAlignment="1" applyBorder="1" applyFill="1" applyFont="1">
      <alignment readingOrder="0"/>
    </xf>
    <xf borderId="4" fillId="8" fontId="20" numFmtId="0" xfId="0" applyAlignment="1" applyBorder="1" applyFill="1" applyFont="1">
      <alignment readingOrder="0" shrinkToFit="0" vertical="top" wrapText="1"/>
    </xf>
    <xf borderId="5" fillId="0" fontId="22" numFmtId="1" xfId="0" applyAlignment="1" applyBorder="1" applyFont="1" applyNumberFormat="1">
      <alignment horizontal="right"/>
    </xf>
    <xf borderId="0" fillId="0" fontId="1" numFmtId="0" xfId="0" applyAlignment="1" applyFont="1">
      <alignment horizontal="left"/>
    </xf>
    <xf borderId="4" fillId="8" fontId="21" numFmtId="0" xfId="0" applyBorder="1" applyFill="1" applyFont="1"/>
    <xf borderId="1" fillId="5" fontId="7" numFmtId="0" xfId="0" applyAlignment="1" applyBorder="1" applyFill="1" applyFont="1">
      <alignment horizontal="left" readingOrder="0" shrinkToFit="0" vertical="top" wrapText="1"/>
    </xf>
    <xf borderId="4" fillId="2" fontId="7" numFmtId="0" xfId="0" applyAlignment="1" applyBorder="1" applyFill="1" applyFont="1">
      <alignment horizontal="left" readingOrder="0" vertical="top"/>
    </xf>
    <xf borderId="0" fillId="2" fontId="5" numFmtId="0" xfId="0" applyAlignment="1" applyFill="1" applyFont="1">
      <alignment horizontal="left" vertical="top"/>
    </xf>
    <xf borderId="4" fillId="0" fontId="9" numFmtId="0" xfId="0" applyAlignment="1" applyBorder="1" applyFont="1">
      <alignment readingOrder="0" shrinkToFit="0" vertical="top" wrapText="1"/>
    </xf>
    <xf borderId="4" fillId="0" fontId="9" numFmtId="0" xfId="0" applyAlignment="1" applyBorder="1" applyFont="1">
      <alignment horizontal="left" readingOrder="0" vertical="top"/>
    </xf>
    <xf borderId="4" fillId="0" fontId="23" numFmtId="0" xfId="0" applyBorder="1" applyFont="1"/>
    <xf borderId="4" fillId="0" fontId="9" numFmtId="0" xfId="0" applyAlignment="1" applyBorder="1" applyFont="1">
      <alignment shrinkToFit="0" vertical="top" wrapText="1"/>
    </xf>
    <xf borderId="4" fillId="0" fontId="9" numFmtId="164" xfId="0" applyAlignment="1" applyBorder="1" applyFont="1" applyNumberFormat="1">
      <alignment horizontal="left" vertical="top"/>
    </xf>
    <xf borderId="1" fillId="7" fontId="7" numFmtId="0" xfId="0" applyAlignment="1" applyBorder="1" applyFill="1" applyFont="1">
      <alignment horizontal="left" shrinkToFit="0" vertical="top" wrapText="1"/>
    </xf>
    <xf borderId="6" fillId="0" fontId="24" numFmtId="0" xfId="0" applyAlignment="1" applyBorder="1" applyFont="1">
      <alignment horizontal="left" readingOrder="0" shrinkToFit="0" vertical="top" wrapText="1"/>
    </xf>
    <xf borderId="0" fillId="0" fontId="24" numFmtId="0" xfId="0" applyAlignment="1" applyFont="1">
      <alignment horizontal="left" shrinkToFit="0" vertical="top" wrapText="1"/>
    </xf>
    <xf borderId="1" fillId="6" fontId="9" numFmtId="0" xfId="0" applyAlignment="1" applyBorder="1" applyFill="1" applyFont="1">
      <alignment readingOrder="0" shrinkToFit="0" vertical="top" wrapText="1"/>
    </xf>
    <xf borderId="0" fillId="0" fontId="13" numFmtId="0" xfId="0" applyAlignment="1" applyFont="1">
      <alignment readingOrder="0"/>
    </xf>
    <xf borderId="0" fillId="0" fontId="13" numFmtId="0" xfId="0" applyAlignment="1" applyFont="1">
      <alignment readingOrder="0" shrinkToFit="0" wrapText="1"/>
    </xf>
    <xf borderId="0" fillId="0" fontId="9" numFmtId="0" xfId="0" applyFont="1"/>
    <xf borderId="6" fillId="0" fontId="24" numFmtId="0" xfId="0" applyAlignment="1" applyBorder="1" applyFont="1">
      <alignment horizontal="left" shrinkToFit="0" vertical="top" wrapText="1"/>
    </xf>
    <xf borderId="5" fillId="5" fontId="8" numFmtId="0" xfId="0" applyAlignment="1" applyBorder="1" applyFill="1" applyFont="1">
      <alignment readingOrder="0" shrinkToFit="0" vertical="top" wrapText="1"/>
    </xf>
    <xf borderId="5" fillId="0" fontId="25" numFmtId="0" xfId="0" applyAlignment="1" applyBorder="1" applyFont="1">
      <alignment readingOrder="0" shrinkToFit="0" vertical="top" wrapText="1"/>
    </xf>
    <xf borderId="5" fillId="5" fontId="8" numFmtId="0" xfId="0" applyAlignment="1" applyBorder="1" applyFill="1" applyFont="1">
      <alignment shrinkToFit="0" vertical="top" wrapText="1"/>
    </xf>
    <xf borderId="6" fillId="2" fontId="9" numFmtId="0" xfId="0" applyAlignment="1" applyBorder="1" applyFill="1" applyFont="1">
      <alignment shrinkToFit="0" vertical="top" wrapText="1"/>
    </xf>
    <xf borderId="6" fillId="7" fontId="9" numFmtId="0" xfId="0" applyAlignment="1" applyBorder="1" applyFill="1" applyFont="1">
      <alignment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D9D9D9"/>
          <bgColor rgb="FFD9D9D9"/>
        </patternFill>
      </fill>
      <border/>
    </dxf>
  </dxfs>
  <tableStyles count="1">
    <tableStyle count="2" pivot="0" name="2-ANCORATGE CURRICULA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440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440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440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440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965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440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4:F14" displayName="Table_1" name="Table_1" id="1">
  <tableColumns count="3">
    <tableColumn name="Column1" id="1"/>
    <tableColumn name="Column2" id="2"/>
    <tableColumn name="Column3" id="3"/>
  </tableColumns>
  <tableStyleInfo name="2-ANCORATGE CURRICULA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19.5"/>
    <col customWidth="1" min="8" max="8" width="9.38"/>
  </cols>
  <sheetData>
    <row r="1" ht="15.75" customHeight="1">
      <c r="A1" s="1"/>
      <c r="H1" s="3" t="s">
        <v>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8.0" customHeight="1">
      <c r="A20" s="8" t="s">
        <v>2</v>
      </c>
      <c r="B20" s="4"/>
      <c r="C20" s="4"/>
      <c r="D20" s="4"/>
      <c r="E20" s="4"/>
      <c r="F20" s="4"/>
      <c r="G20" s="5"/>
    </row>
    <row r="21" ht="44.25" customHeight="1">
      <c r="A21" s="11" t="s">
        <v>5</v>
      </c>
      <c r="B21" s="4"/>
      <c r="C21" s="4"/>
      <c r="D21" s="4"/>
      <c r="E21" s="4"/>
      <c r="F21" s="4"/>
      <c r="G21" s="5"/>
    </row>
    <row r="22" ht="15.75" customHeight="1">
      <c r="A22" s="17" t="s">
        <v>10</v>
      </c>
      <c r="B22" s="19"/>
      <c r="C22" s="19"/>
      <c r="D22" s="19"/>
      <c r="E22" s="19"/>
      <c r="F22" s="19"/>
      <c r="G22" s="22"/>
    </row>
    <row r="23" ht="15.75" customHeight="1">
      <c r="A23" s="23"/>
      <c r="G23" s="25"/>
    </row>
    <row r="24" ht="15.75" customHeight="1">
      <c r="A24" s="23"/>
      <c r="G24" s="25"/>
    </row>
    <row r="25" ht="15.75" customHeight="1">
      <c r="A25" s="23"/>
      <c r="G25" s="25"/>
    </row>
    <row r="26" ht="15.75" customHeight="1">
      <c r="A26" s="27"/>
      <c r="B26" s="16"/>
      <c r="C26" s="16"/>
      <c r="D26" s="16"/>
      <c r="E26" s="16"/>
      <c r="F26" s="16"/>
      <c r="G26" s="2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
    <mergeCell ref="A1:G19"/>
    <mergeCell ref="H1:H26"/>
    <mergeCell ref="A20:G20"/>
    <mergeCell ref="A21:G21"/>
    <mergeCell ref="A22:G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2" max="2" width="16.13"/>
    <col customWidth="1" min="3" max="6" width="12.63"/>
  </cols>
  <sheetData>
    <row r="1" ht="72.0" customHeight="1">
      <c r="A1" s="2"/>
      <c r="B1" s="4"/>
      <c r="C1" s="4"/>
      <c r="D1" s="4"/>
      <c r="E1" s="4"/>
      <c r="F1" s="4"/>
      <c r="G1" s="4"/>
      <c r="H1" s="5"/>
    </row>
    <row r="2" ht="15.75" customHeight="1">
      <c r="A2" s="7" t="s">
        <v>1</v>
      </c>
      <c r="B2" s="4"/>
      <c r="C2" s="4"/>
      <c r="D2" s="4"/>
      <c r="E2" s="4"/>
      <c r="F2" s="4"/>
      <c r="G2" s="4"/>
      <c r="H2" s="5"/>
    </row>
    <row r="3" ht="15.75" customHeight="1">
      <c r="A3" s="9" t="s">
        <v>4</v>
      </c>
      <c r="B3" s="12" t="s">
        <v>6</v>
      </c>
      <c r="C3" s="4"/>
      <c r="D3" s="4"/>
      <c r="E3" s="4"/>
      <c r="F3" s="4"/>
      <c r="G3" s="4"/>
      <c r="H3" s="5"/>
    </row>
    <row r="4" ht="15.75" customHeight="1">
      <c r="A4" s="9" t="s">
        <v>8</v>
      </c>
      <c r="B4" s="15" t="s">
        <v>9</v>
      </c>
      <c r="C4" s="4"/>
      <c r="D4" s="4"/>
      <c r="E4" s="4"/>
      <c r="F4" s="5"/>
      <c r="G4" s="21" t="s">
        <v>11</v>
      </c>
      <c r="H4" s="28" t="s">
        <v>16</v>
      </c>
    </row>
    <row r="5" ht="15.75" customHeight="1">
      <c r="A5" s="9" t="s">
        <v>17</v>
      </c>
      <c r="B5" s="15" t="s">
        <v>18</v>
      </c>
      <c r="C5" s="4"/>
      <c r="D5" s="4"/>
      <c r="E5" s="4"/>
      <c r="F5" s="5"/>
      <c r="G5" s="21" t="s">
        <v>21</v>
      </c>
      <c r="H5" s="33" t="s">
        <v>24</v>
      </c>
    </row>
    <row r="6" ht="15.75" customHeight="1">
      <c r="A6" s="9" t="s">
        <v>25</v>
      </c>
      <c r="B6" s="15" t="s">
        <v>27</v>
      </c>
      <c r="C6" s="4"/>
      <c r="D6" s="4"/>
      <c r="E6" s="4"/>
      <c r="F6" s="4"/>
      <c r="G6" s="4"/>
      <c r="H6" s="5"/>
    </row>
    <row r="7" ht="15.75" customHeight="1">
      <c r="A7" s="9" t="s">
        <v>30</v>
      </c>
      <c r="B7" s="9" t="s">
        <v>31</v>
      </c>
      <c r="C7" s="37">
        <v>230.0</v>
      </c>
      <c r="D7" s="5"/>
      <c r="E7" s="9" t="s">
        <v>33</v>
      </c>
      <c r="F7" s="37">
        <v>7.0</v>
      </c>
      <c r="G7" s="4"/>
      <c r="H7" s="5"/>
    </row>
    <row r="8" ht="15.75" customHeight="1">
      <c r="A8" s="31" t="s">
        <v>34</v>
      </c>
      <c r="B8" s="4"/>
      <c r="C8" s="4"/>
      <c r="D8" s="4"/>
      <c r="E8" s="4"/>
      <c r="F8" s="4"/>
      <c r="G8" s="4"/>
      <c r="H8" s="5"/>
    </row>
    <row r="9" ht="105.0" customHeight="1">
      <c r="A9" s="26" t="s">
        <v>36</v>
      </c>
      <c r="B9" s="4"/>
      <c r="C9" s="4"/>
      <c r="D9" s="4"/>
      <c r="E9" s="4"/>
      <c r="F9" s="4"/>
      <c r="G9" s="4"/>
      <c r="H9" s="5"/>
    </row>
    <row r="10" ht="15.75" customHeight="1">
      <c r="A10" s="42" t="s">
        <v>37</v>
      </c>
      <c r="B10" s="4"/>
      <c r="C10" s="4"/>
      <c r="D10" s="4"/>
      <c r="E10" s="4"/>
      <c r="F10" s="4"/>
      <c r="G10" s="4"/>
      <c r="H10" s="5"/>
    </row>
    <row r="11" ht="39.75" customHeight="1">
      <c r="A11" s="26" t="s">
        <v>40</v>
      </c>
      <c r="B11" s="4"/>
      <c r="C11" s="4"/>
      <c r="D11" s="4"/>
      <c r="E11" s="4"/>
      <c r="F11" s="4"/>
      <c r="G11" s="4"/>
      <c r="H11" s="5"/>
    </row>
    <row r="12" ht="15.75" customHeight="1">
      <c r="A12" s="42" t="s">
        <v>41</v>
      </c>
      <c r="B12" s="4"/>
      <c r="C12" s="4"/>
      <c r="D12" s="4"/>
      <c r="E12" s="4"/>
      <c r="F12" s="4"/>
      <c r="G12" s="4"/>
      <c r="H12" s="5"/>
    </row>
    <row r="13" ht="31.5" customHeight="1">
      <c r="A13" s="26" t="s">
        <v>42</v>
      </c>
      <c r="B13" s="4"/>
      <c r="C13" s="4"/>
      <c r="D13" s="4"/>
      <c r="E13" s="4"/>
      <c r="F13" s="4"/>
      <c r="G13" s="4"/>
      <c r="H13" s="5"/>
    </row>
    <row r="14" ht="16.5" customHeight="1"/>
    <row r="15" ht="16.5" customHeight="1"/>
    <row r="16" ht="16.5" customHeight="1"/>
    <row r="17" ht="16.5" customHeight="1"/>
    <row r="18" ht="16.5" customHeight="1"/>
    <row r="19" ht="16.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14">
    <mergeCell ref="F7:H7"/>
    <mergeCell ref="A8:H8"/>
    <mergeCell ref="A9:H9"/>
    <mergeCell ref="A10:H10"/>
    <mergeCell ref="A11:H11"/>
    <mergeCell ref="A12:H12"/>
    <mergeCell ref="A13:H13"/>
    <mergeCell ref="A1:H1"/>
    <mergeCell ref="A2:H2"/>
    <mergeCell ref="B3:H3"/>
    <mergeCell ref="B4:F4"/>
    <mergeCell ref="B5:F5"/>
    <mergeCell ref="B6:H6"/>
    <mergeCell ref="C7:D7"/>
  </mergeCells>
  <dataValidations>
    <dataValidation type="list" allowBlank="1" sqref="H5">
      <formula1>"1r,2n"</formula1>
    </dataValidation>
    <dataValidation type="list" allowBlank="1" sqref="H4">
      <formula1>"GB,GM,GS,CE"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
    <col customWidth="1" min="2" max="2" width="67.75"/>
    <col customWidth="1" min="3" max="3" width="10.75"/>
  </cols>
  <sheetData>
    <row r="1" ht="56.25" customHeight="1">
      <c r="A1" s="13"/>
      <c r="B1" s="13"/>
      <c r="E1" s="13"/>
      <c r="F1" s="13"/>
    </row>
    <row r="2">
      <c r="A2" s="18"/>
      <c r="B2" s="18"/>
      <c r="E2" s="18"/>
      <c r="F2" s="18"/>
    </row>
    <row r="3" ht="45.0" customHeight="1">
      <c r="A3" s="24" t="s">
        <v>12</v>
      </c>
      <c r="B3" s="24" t="s">
        <v>14</v>
      </c>
      <c r="C3" s="29" t="s">
        <v>15</v>
      </c>
      <c r="D3" s="30" t="s">
        <v>20</v>
      </c>
      <c r="E3" s="30" t="s">
        <v>22</v>
      </c>
      <c r="F3" s="32" t="s">
        <v>23</v>
      </c>
    </row>
    <row r="4">
      <c r="A4" s="34" t="s">
        <v>26</v>
      </c>
      <c r="B4" s="35" t="s">
        <v>29</v>
      </c>
      <c r="C4" s="36">
        <v>5.0</v>
      </c>
      <c r="D4" s="38"/>
      <c r="E4" s="41">
        <f t="shared" ref="E4:E14" si="1">100-D4</f>
        <v>100</v>
      </c>
      <c r="F4" s="28">
        <v>1.0</v>
      </c>
    </row>
    <row r="5">
      <c r="A5" s="43" t="s">
        <v>38</v>
      </c>
      <c r="B5" s="44" t="s">
        <v>39</v>
      </c>
      <c r="C5" s="45">
        <v>10.0</v>
      </c>
      <c r="D5" s="46"/>
      <c r="E5" s="41">
        <f t="shared" si="1"/>
        <v>100</v>
      </c>
      <c r="F5" s="47">
        <v>4.0</v>
      </c>
    </row>
    <row r="6">
      <c r="A6" s="34" t="s">
        <v>43</v>
      </c>
      <c r="B6" s="35" t="s">
        <v>44</v>
      </c>
      <c r="C6" s="48">
        <v>10.0</v>
      </c>
      <c r="D6" s="38"/>
      <c r="E6" s="41">
        <f t="shared" si="1"/>
        <v>100</v>
      </c>
      <c r="F6" s="28">
        <v>4.0</v>
      </c>
    </row>
    <row r="7">
      <c r="A7" s="43" t="s">
        <v>45</v>
      </c>
      <c r="B7" s="44" t="s">
        <v>46</v>
      </c>
      <c r="C7" s="47">
        <v>10.0</v>
      </c>
      <c r="D7" s="46"/>
      <c r="E7" s="41">
        <f t="shared" si="1"/>
        <v>100</v>
      </c>
      <c r="F7" s="47">
        <v>4.0</v>
      </c>
    </row>
    <row r="8">
      <c r="A8" s="34" t="s">
        <v>47</v>
      </c>
      <c r="B8" s="35" t="s">
        <v>48</v>
      </c>
      <c r="C8" s="48">
        <v>10.0</v>
      </c>
      <c r="D8" s="38"/>
      <c r="E8" s="41">
        <f t="shared" si="1"/>
        <v>100</v>
      </c>
      <c r="F8" s="28">
        <v>4.0</v>
      </c>
    </row>
    <row r="9">
      <c r="A9" s="43" t="s">
        <v>49</v>
      </c>
      <c r="B9" s="44" t="s">
        <v>50</v>
      </c>
      <c r="C9" s="47">
        <v>20.0</v>
      </c>
      <c r="D9" s="46"/>
      <c r="E9" s="41">
        <f t="shared" si="1"/>
        <v>100</v>
      </c>
      <c r="F9" s="47">
        <v>2.0</v>
      </c>
    </row>
    <row r="10">
      <c r="A10" s="34" t="s">
        <v>51</v>
      </c>
      <c r="B10" s="35" t="s">
        <v>52</v>
      </c>
      <c r="C10" s="48">
        <v>20.0</v>
      </c>
      <c r="D10" s="49">
        <v>10.0</v>
      </c>
      <c r="E10" s="41">
        <f t="shared" si="1"/>
        <v>90</v>
      </c>
      <c r="F10" s="28">
        <v>3.0</v>
      </c>
    </row>
    <row r="11">
      <c r="A11" s="43" t="s">
        <v>53</v>
      </c>
      <c r="B11" s="44" t="s">
        <v>54</v>
      </c>
      <c r="C11" s="47">
        <v>10.0</v>
      </c>
      <c r="D11" s="46"/>
      <c r="E11" s="41">
        <f t="shared" si="1"/>
        <v>100</v>
      </c>
      <c r="F11" s="47">
        <v>4.0</v>
      </c>
    </row>
    <row r="12">
      <c r="A12" s="34" t="s">
        <v>55</v>
      </c>
      <c r="B12" s="35" t="s">
        <v>56</v>
      </c>
      <c r="C12" s="50">
        <v>5.0</v>
      </c>
      <c r="D12" s="49">
        <v>10.0</v>
      </c>
      <c r="E12" s="41">
        <f t="shared" si="1"/>
        <v>90</v>
      </c>
      <c r="F12" s="28">
        <v>3.0</v>
      </c>
    </row>
    <row r="13">
      <c r="A13" s="43" t="s">
        <v>57</v>
      </c>
      <c r="B13" s="44" t="s">
        <v>58</v>
      </c>
      <c r="C13" s="51">
        <v>0.0</v>
      </c>
      <c r="D13" s="47"/>
      <c r="E13" s="41">
        <f t="shared" si="1"/>
        <v>100</v>
      </c>
      <c r="F13" s="46"/>
    </row>
    <row r="14">
      <c r="A14" s="34" t="s">
        <v>59</v>
      </c>
      <c r="B14" s="35" t="s">
        <v>60</v>
      </c>
      <c r="C14" s="50">
        <v>0.0</v>
      </c>
      <c r="D14" s="38"/>
      <c r="E14" s="41">
        <f t="shared" si="1"/>
        <v>100</v>
      </c>
      <c r="F14" s="52"/>
    </row>
    <row r="15">
      <c r="B15" s="53" t="s">
        <v>61</v>
      </c>
      <c r="C15" s="54">
        <f>SUM(C4:C14)</f>
        <v>100</v>
      </c>
    </row>
    <row r="17">
      <c r="A17" s="55" t="s">
        <v>62</v>
      </c>
      <c r="B17" s="19"/>
      <c r="C17" s="19"/>
      <c r="D17" s="19"/>
      <c r="E17" s="19"/>
      <c r="F17" s="22"/>
    </row>
    <row r="18">
      <c r="A18" s="23"/>
      <c r="F18" s="25"/>
    </row>
    <row r="19">
      <c r="A19" s="27"/>
      <c r="B19" s="16"/>
      <c r="C19" s="16"/>
      <c r="D19" s="16"/>
      <c r="E19" s="16"/>
      <c r="F19" s="20"/>
    </row>
  </sheetData>
  <mergeCells count="3">
    <mergeCell ref="B1:D1"/>
    <mergeCell ref="B2:D2"/>
    <mergeCell ref="A17:F19"/>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2" max="2" width="16.13"/>
    <col customWidth="1" min="3" max="6" width="12.63"/>
  </cols>
  <sheetData>
    <row r="1" ht="72.0" customHeight="1">
      <c r="A1" s="6"/>
    </row>
    <row r="2" ht="15.75" customHeight="1">
      <c r="A2" s="10" t="s">
        <v>3</v>
      </c>
      <c r="B2" s="4"/>
      <c r="C2" s="4"/>
      <c r="D2" s="4"/>
      <c r="E2" s="4"/>
      <c r="F2" s="4"/>
      <c r="G2" s="4"/>
      <c r="H2" s="5"/>
    </row>
    <row r="3" ht="15.75" customHeight="1">
      <c r="A3" s="14" t="s">
        <v>7</v>
      </c>
      <c r="B3" s="16"/>
      <c r="C3" s="16"/>
      <c r="D3" s="16"/>
      <c r="E3" s="16"/>
      <c r="F3" s="16"/>
      <c r="G3" s="16"/>
      <c r="H3" s="20"/>
    </row>
    <row r="4" ht="114.0" customHeight="1">
      <c r="A4" s="26" t="s">
        <v>13</v>
      </c>
      <c r="B4" s="4"/>
      <c r="C4" s="4"/>
      <c r="D4" s="4"/>
      <c r="E4" s="4"/>
      <c r="F4" s="4"/>
      <c r="G4" s="4"/>
      <c r="H4" s="5"/>
    </row>
    <row r="5" ht="15.75" customHeight="1">
      <c r="A5" s="31" t="s">
        <v>19</v>
      </c>
      <c r="B5" s="4"/>
      <c r="C5" s="4"/>
      <c r="D5" s="4"/>
      <c r="E5" s="4"/>
      <c r="F5" s="4"/>
      <c r="G5" s="4"/>
      <c r="H5" s="5"/>
    </row>
    <row r="6" ht="95.25" customHeight="1">
      <c r="A6" s="26" t="s">
        <v>28</v>
      </c>
      <c r="B6" s="4"/>
      <c r="C6" s="4"/>
      <c r="D6" s="4"/>
      <c r="E6" s="4"/>
      <c r="F6" s="4"/>
      <c r="G6" s="4"/>
      <c r="H6" s="5"/>
    </row>
    <row r="7" ht="15.75" customHeight="1">
      <c r="A7" s="39" t="s">
        <v>32</v>
      </c>
      <c r="B7" s="4"/>
      <c r="C7" s="4"/>
      <c r="D7" s="4"/>
      <c r="E7" s="4"/>
      <c r="F7" s="4"/>
      <c r="G7" s="4"/>
      <c r="H7" s="5"/>
    </row>
    <row r="8" ht="15.75" customHeight="1">
      <c r="A8" s="40" t="s">
        <v>35</v>
      </c>
      <c r="B8" s="19"/>
      <c r="C8" s="19"/>
      <c r="D8" s="19"/>
      <c r="E8" s="19"/>
      <c r="F8" s="19"/>
      <c r="G8" s="19"/>
      <c r="H8" s="22"/>
    </row>
    <row r="9" ht="15.75" customHeight="1">
      <c r="A9" s="23"/>
      <c r="H9" s="25"/>
    </row>
    <row r="10" ht="15.75" customHeight="1">
      <c r="A10" s="23"/>
      <c r="H10" s="25"/>
    </row>
    <row r="11" ht="15.75" customHeight="1">
      <c r="A11" s="23"/>
      <c r="H11" s="25"/>
    </row>
    <row r="12" ht="15.75" customHeight="1">
      <c r="A12" s="23"/>
      <c r="H12" s="25"/>
    </row>
    <row r="13" ht="15.75" customHeight="1">
      <c r="A13" s="23"/>
      <c r="H13" s="25"/>
    </row>
    <row r="14" ht="15.75" customHeight="1">
      <c r="A14" s="23"/>
      <c r="H14" s="25"/>
    </row>
    <row r="15" ht="15.75" customHeight="1">
      <c r="A15" s="23"/>
      <c r="H15" s="25"/>
    </row>
    <row r="16" ht="15.75" customHeight="1">
      <c r="A16" s="23"/>
      <c r="H16" s="25"/>
    </row>
    <row r="17" ht="15.75" customHeight="1">
      <c r="A17" s="23"/>
      <c r="H17" s="25"/>
    </row>
    <row r="18" ht="15.75" customHeight="1">
      <c r="A18" s="23"/>
      <c r="H18" s="25"/>
    </row>
    <row r="19" ht="15.75" customHeight="1">
      <c r="A19" s="23"/>
      <c r="H19" s="25"/>
    </row>
    <row r="20" ht="15.75" customHeight="1">
      <c r="A20" s="27"/>
      <c r="B20" s="16"/>
      <c r="C20" s="16"/>
      <c r="D20" s="16"/>
      <c r="E20" s="16"/>
      <c r="F20" s="16"/>
      <c r="G20" s="16"/>
      <c r="H20"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H1"/>
    <mergeCell ref="A2:H2"/>
    <mergeCell ref="A3:H3"/>
    <mergeCell ref="A4:H4"/>
    <mergeCell ref="A5:H5"/>
    <mergeCell ref="A6:H6"/>
    <mergeCell ref="A7:H7"/>
    <mergeCell ref="A8:H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2" max="2" width="16.13"/>
    <col customWidth="1" min="3" max="6" width="12.63"/>
  </cols>
  <sheetData>
    <row r="1" ht="72.0" customHeight="1">
      <c r="A1" s="2"/>
      <c r="B1" s="4"/>
      <c r="C1" s="4"/>
      <c r="D1" s="4"/>
      <c r="E1" s="4"/>
      <c r="F1" s="4"/>
      <c r="G1" s="4"/>
      <c r="H1" s="5"/>
    </row>
    <row r="2" ht="15.75" customHeight="1">
      <c r="A2" s="7" t="s">
        <v>63</v>
      </c>
      <c r="B2" s="4"/>
      <c r="C2" s="4"/>
      <c r="D2" s="4"/>
      <c r="E2" s="4"/>
      <c r="F2" s="4"/>
      <c r="G2" s="4"/>
      <c r="H2" s="5"/>
    </row>
    <row r="3" ht="15.75" customHeight="1">
      <c r="A3" s="56" t="s">
        <v>64</v>
      </c>
      <c r="B3" s="16"/>
      <c r="C3" s="16"/>
      <c r="D3" s="16"/>
      <c r="E3" s="16"/>
      <c r="F3" s="16"/>
      <c r="G3" s="16"/>
      <c r="H3" s="20"/>
    </row>
    <row r="4" ht="171.0" customHeight="1">
      <c r="A4" s="57" t="s">
        <v>65</v>
      </c>
      <c r="B4" s="4"/>
      <c r="C4" s="4"/>
      <c r="D4" s="4"/>
      <c r="E4" s="4"/>
      <c r="F4" s="4"/>
      <c r="G4" s="4"/>
      <c r="H4" s="5"/>
    </row>
    <row r="5" ht="15.75" customHeight="1">
      <c r="A5" s="58" t="s">
        <v>66</v>
      </c>
      <c r="B5" s="4"/>
      <c r="C5" s="4"/>
      <c r="D5" s="4"/>
      <c r="E5" s="4"/>
      <c r="F5" s="4"/>
      <c r="G5" s="4"/>
      <c r="H5" s="5"/>
    </row>
    <row r="6" ht="273.75" customHeight="1">
      <c r="A6" s="59" t="s">
        <v>67</v>
      </c>
      <c r="B6" s="4"/>
      <c r="C6" s="4"/>
      <c r="D6" s="4"/>
      <c r="E6" s="4"/>
      <c r="F6" s="4"/>
      <c r="G6" s="4"/>
      <c r="H6" s="5"/>
    </row>
    <row r="7" ht="15.75" customHeight="1">
      <c r="A7" s="58" t="s">
        <v>68</v>
      </c>
      <c r="B7" s="4"/>
      <c r="C7" s="4"/>
      <c r="D7" s="4"/>
      <c r="E7" s="4"/>
      <c r="F7" s="4"/>
      <c r="G7" s="4"/>
      <c r="H7" s="5"/>
    </row>
    <row r="8" ht="84.75" customHeight="1">
      <c r="A8" s="60" t="s">
        <v>69</v>
      </c>
      <c r="B8" s="4"/>
      <c r="C8" s="4"/>
      <c r="D8" s="4"/>
      <c r="E8" s="4"/>
      <c r="F8" s="4"/>
      <c r="G8" s="4"/>
      <c r="H8" s="5"/>
    </row>
    <row r="9" ht="15.75" customHeight="1">
      <c r="A9" s="31" t="s">
        <v>70</v>
      </c>
      <c r="B9" s="4"/>
      <c r="C9" s="4"/>
      <c r="D9" s="4"/>
      <c r="E9" s="4"/>
      <c r="F9" s="4"/>
      <c r="G9" s="4"/>
      <c r="H9" s="5"/>
    </row>
    <row r="10" ht="94.5" customHeight="1">
      <c r="A10" s="26" t="s">
        <v>71</v>
      </c>
      <c r="B10" s="4"/>
      <c r="C10" s="4"/>
      <c r="D10" s="4"/>
      <c r="E10" s="4"/>
      <c r="F10" s="4"/>
      <c r="G10" s="4"/>
      <c r="H10" s="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0">
    <mergeCell ref="A8:H8"/>
    <mergeCell ref="A9:H9"/>
    <mergeCell ref="A10:H10"/>
    <mergeCell ref="A1:H1"/>
    <mergeCell ref="A2:H2"/>
    <mergeCell ref="A3:H3"/>
    <mergeCell ref="A4:H4"/>
    <mergeCell ref="A5:H5"/>
    <mergeCell ref="A6:H6"/>
    <mergeCell ref="A7:H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2" max="2" width="16.13"/>
    <col customWidth="1" min="3" max="6" width="12.63"/>
  </cols>
  <sheetData>
    <row r="1" ht="72.0" customHeight="1">
      <c r="A1" s="2"/>
      <c r="B1" s="4"/>
      <c r="C1" s="4"/>
      <c r="D1" s="4"/>
      <c r="E1" s="4"/>
      <c r="F1" s="4"/>
      <c r="G1" s="4"/>
      <c r="H1" s="5"/>
    </row>
    <row r="2" ht="15.75" customHeight="1">
      <c r="A2" s="7" t="s">
        <v>72</v>
      </c>
      <c r="B2" s="4"/>
      <c r="C2" s="4"/>
      <c r="D2" s="4"/>
      <c r="E2" s="4"/>
      <c r="F2" s="4"/>
      <c r="G2" s="4"/>
      <c r="H2" s="5"/>
    </row>
    <row r="3" ht="171.0" customHeight="1">
      <c r="A3" s="26" t="s">
        <v>73</v>
      </c>
      <c r="B3" s="4"/>
      <c r="C3" s="4"/>
      <c r="D3" s="4"/>
      <c r="E3" s="4"/>
      <c r="F3" s="4"/>
      <c r="G3" s="4"/>
      <c r="H3" s="5"/>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H1"/>
    <mergeCell ref="A2:H2"/>
    <mergeCell ref="A3:H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5"/>
    <col customWidth="1" min="2" max="9" width="4.88"/>
    <col customWidth="1" min="10" max="10" width="4.63"/>
    <col customWidth="1" min="11" max="11" width="4.88"/>
    <col customWidth="1" min="12" max="12" width="12.25"/>
  </cols>
  <sheetData>
    <row r="1" ht="75.75" customHeight="1">
      <c r="A1" s="61"/>
    </row>
    <row r="2" ht="15.75" customHeight="1">
      <c r="A2" s="62" t="s">
        <v>74</v>
      </c>
      <c r="B2" s="4"/>
      <c r="C2" s="4"/>
      <c r="D2" s="4"/>
      <c r="E2" s="4"/>
      <c r="F2" s="4"/>
      <c r="G2" s="4"/>
      <c r="H2" s="4"/>
      <c r="I2" s="4"/>
      <c r="J2" s="4"/>
      <c r="K2" s="4"/>
      <c r="L2" s="5"/>
    </row>
    <row r="3" ht="15.75" customHeight="1">
      <c r="A3" s="63" t="s">
        <v>75</v>
      </c>
      <c r="B3" s="64" t="s">
        <v>76</v>
      </c>
      <c r="C3" s="4"/>
      <c r="D3" s="4"/>
      <c r="E3" s="4"/>
      <c r="F3" s="4"/>
      <c r="G3" s="4"/>
      <c r="H3" s="4"/>
      <c r="I3" s="4"/>
      <c r="J3" s="4"/>
      <c r="K3" s="5"/>
      <c r="L3" s="63" t="s">
        <v>77</v>
      </c>
    </row>
    <row r="4" ht="15.75" customHeight="1">
      <c r="A4" s="66"/>
      <c r="B4" s="67" t="s">
        <v>78</v>
      </c>
      <c r="C4" s="67" t="s">
        <v>80</v>
      </c>
      <c r="D4" s="67" t="s">
        <v>81</v>
      </c>
      <c r="E4" s="67" t="s">
        <v>82</v>
      </c>
      <c r="F4" s="67" t="s">
        <v>83</v>
      </c>
      <c r="G4" s="67" t="s">
        <v>84</v>
      </c>
      <c r="H4" s="67" t="s">
        <v>85</v>
      </c>
      <c r="I4" s="67" t="s">
        <v>86</v>
      </c>
      <c r="J4" s="67" t="s">
        <v>88</v>
      </c>
      <c r="K4" s="67" t="s">
        <v>89</v>
      </c>
      <c r="L4" s="66"/>
    </row>
    <row r="5" ht="15.75" customHeight="1">
      <c r="A5" s="70" t="s">
        <v>90</v>
      </c>
      <c r="B5" s="71" t="s">
        <v>91</v>
      </c>
      <c r="C5" s="71"/>
      <c r="D5" s="72"/>
      <c r="E5" s="72"/>
      <c r="F5" s="72"/>
      <c r="G5" s="72"/>
      <c r="H5" s="72"/>
      <c r="I5" s="72"/>
      <c r="J5" s="72"/>
      <c r="K5" s="72"/>
      <c r="L5" s="73">
        <v>20.0</v>
      </c>
    </row>
    <row r="6" ht="15.75" customHeight="1">
      <c r="A6" s="70" t="s">
        <v>92</v>
      </c>
      <c r="B6" s="71" t="s">
        <v>91</v>
      </c>
      <c r="C6" s="71" t="s">
        <v>91</v>
      </c>
      <c r="D6" s="71"/>
      <c r="E6" s="72"/>
      <c r="F6" s="72"/>
      <c r="G6" s="72"/>
      <c r="H6" s="72"/>
      <c r="I6" s="72"/>
      <c r="J6" s="72"/>
      <c r="K6" s="72"/>
      <c r="L6" s="73">
        <v>40.0</v>
      </c>
    </row>
    <row r="7" ht="15.75" customHeight="1">
      <c r="A7" s="70" t="s">
        <v>93</v>
      </c>
      <c r="B7" s="72"/>
      <c r="C7" s="71" t="s">
        <v>91</v>
      </c>
      <c r="D7" s="71" t="s">
        <v>91</v>
      </c>
      <c r="E7" s="71" t="s">
        <v>91</v>
      </c>
      <c r="F7" s="72"/>
      <c r="G7" s="72"/>
      <c r="H7" s="72"/>
      <c r="I7" s="72"/>
      <c r="J7" s="72"/>
      <c r="K7" s="72"/>
      <c r="L7" s="73">
        <v>50.0</v>
      </c>
    </row>
    <row r="8" ht="15.75" customHeight="1">
      <c r="A8" s="70" t="s">
        <v>94</v>
      </c>
      <c r="B8" s="72"/>
      <c r="C8" s="72"/>
      <c r="D8" s="72"/>
      <c r="E8" s="71" t="s">
        <v>91</v>
      </c>
      <c r="F8" s="71" t="s">
        <v>91</v>
      </c>
      <c r="G8" s="71" t="s">
        <v>91</v>
      </c>
      <c r="H8" s="71" t="s">
        <v>91</v>
      </c>
      <c r="I8" s="72"/>
      <c r="J8" s="72"/>
      <c r="K8" s="72"/>
      <c r="L8" s="73">
        <v>120.0</v>
      </c>
    </row>
    <row r="9" ht="15.75" customHeight="1">
      <c r="A9" s="75" t="s">
        <v>95</v>
      </c>
      <c r="B9" s="72"/>
      <c r="C9" s="72"/>
      <c r="D9" s="72"/>
      <c r="E9" s="72"/>
      <c r="F9" s="72"/>
      <c r="G9" s="72"/>
      <c r="H9" s="72"/>
      <c r="I9" s="72"/>
      <c r="J9" s="72"/>
      <c r="K9" s="72"/>
      <c r="L9" s="77"/>
    </row>
    <row r="10" ht="15.75" customHeight="1">
      <c r="A10" s="75" t="s">
        <v>97</v>
      </c>
      <c r="B10" s="72"/>
      <c r="C10" s="72"/>
      <c r="D10" s="72"/>
      <c r="E10" s="72"/>
      <c r="F10" s="72"/>
      <c r="G10" s="72"/>
      <c r="H10" s="72"/>
      <c r="I10" s="72"/>
      <c r="J10" s="72"/>
      <c r="K10" s="72"/>
      <c r="L10" s="77"/>
    </row>
    <row r="11" ht="15.75" customHeight="1">
      <c r="A11" s="75" t="s">
        <v>98</v>
      </c>
      <c r="B11" s="72"/>
      <c r="C11" s="72"/>
      <c r="D11" s="72"/>
      <c r="E11" s="72"/>
      <c r="F11" s="72"/>
      <c r="G11" s="72"/>
      <c r="H11" s="72"/>
      <c r="I11" s="72"/>
      <c r="J11" s="72"/>
      <c r="K11" s="72"/>
      <c r="L11" s="77"/>
    </row>
    <row r="12" ht="15.75" customHeight="1">
      <c r="A12" s="75" t="s">
        <v>99</v>
      </c>
      <c r="B12" s="72"/>
      <c r="C12" s="72"/>
      <c r="D12" s="72"/>
      <c r="E12" s="72"/>
      <c r="F12" s="72"/>
      <c r="G12" s="72"/>
      <c r="H12" s="72"/>
      <c r="I12" s="72"/>
      <c r="J12" s="72"/>
      <c r="K12" s="72"/>
      <c r="L12" s="77"/>
    </row>
    <row r="13" ht="15.75" customHeight="1">
      <c r="A13" s="75" t="s">
        <v>101</v>
      </c>
      <c r="B13" s="72"/>
      <c r="C13" s="72"/>
      <c r="D13" s="72"/>
      <c r="E13" s="72"/>
      <c r="F13" s="72"/>
      <c r="G13" s="72"/>
      <c r="H13" s="72"/>
      <c r="I13" s="72"/>
      <c r="J13" s="72"/>
      <c r="K13" s="72"/>
      <c r="L13" s="77"/>
    </row>
    <row r="14" ht="15.75" customHeight="1">
      <c r="A14" s="75" t="s">
        <v>102</v>
      </c>
      <c r="B14" s="79"/>
      <c r="C14" s="79"/>
      <c r="D14" s="79"/>
      <c r="E14" s="79"/>
      <c r="F14" s="79"/>
      <c r="G14" s="79"/>
      <c r="H14" s="79"/>
      <c r="I14" s="79"/>
      <c r="J14" s="79"/>
      <c r="K14" s="79"/>
      <c r="L14" s="81"/>
    </row>
    <row r="15" ht="15.75" customHeight="1">
      <c r="A15" s="75" t="s">
        <v>104</v>
      </c>
      <c r="B15" s="79"/>
      <c r="C15" s="79"/>
      <c r="D15" s="79"/>
      <c r="E15" s="79"/>
      <c r="F15" s="79"/>
      <c r="G15" s="79"/>
      <c r="H15" s="79"/>
      <c r="I15" s="79"/>
      <c r="J15" s="79"/>
      <c r="K15" s="79"/>
      <c r="L15" s="81"/>
    </row>
    <row r="16" ht="15.75" customHeight="1">
      <c r="A16" s="70" t="s">
        <v>106</v>
      </c>
      <c r="B16" s="79"/>
      <c r="C16" s="79"/>
      <c r="D16" s="79"/>
      <c r="E16" s="79"/>
      <c r="F16" s="79"/>
      <c r="G16" s="79"/>
      <c r="H16" s="79"/>
      <c r="I16" s="79"/>
      <c r="J16" s="79"/>
      <c r="K16" s="79"/>
      <c r="L16" s="81"/>
    </row>
    <row r="17" ht="15.75" customHeight="1">
      <c r="A17" s="70" t="s">
        <v>107</v>
      </c>
      <c r="B17" s="79"/>
      <c r="C17" s="79"/>
      <c r="D17" s="79"/>
      <c r="E17" s="79"/>
      <c r="F17" s="79"/>
      <c r="G17" s="79"/>
      <c r="H17" s="79"/>
      <c r="I17" s="79"/>
      <c r="J17" s="79"/>
      <c r="K17" s="79"/>
      <c r="L17" s="81"/>
    </row>
    <row r="18" ht="15.75" customHeight="1">
      <c r="A18" s="83" t="s">
        <v>109</v>
      </c>
      <c r="B18" s="87">
        <f>SUM(L5:L16)</f>
        <v>230</v>
      </c>
      <c r="C18" s="16"/>
      <c r="D18" s="16"/>
      <c r="E18" s="16"/>
      <c r="F18" s="16"/>
      <c r="G18" s="16"/>
      <c r="H18" s="16"/>
      <c r="I18" s="16"/>
      <c r="J18" s="16"/>
      <c r="K18" s="16"/>
      <c r="L18" s="20"/>
    </row>
    <row r="19" ht="15.75" customHeight="1">
      <c r="A19" s="88"/>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6">
    <mergeCell ref="A1:L1"/>
    <mergeCell ref="A2:L2"/>
    <mergeCell ref="A3:A4"/>
    <mergeCell ref="B3:K3"/>
    <mergeCell ref="L3:L4"/>
    <mergeCell ref="B18:L1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temporal'!$A5</f>
        <v>1- Introducció a la programació en entorn servidor</v>
      </c>
      <c r="C3" s="69" t="s">
        <v>77</v>
      </c>
      <c r="D3" s="76">
        <f>'6-Distribució temporal'!$L5</f>
        <v>20</v>
      </c>
    </row>
    <row r="4" ht="15.75" customHeight="1">
      <c r="A4" s="78" t="s">
        <v>96</v>
      </c>
      <c r="B4" s="4"/>
      <c r="C4" s="78" t="s">
        <v>100</v>
      </c>
      <c r="D4" s="5"/>
    </row>
    <row r="5" ht="15.75" customHeight="1">
      <c r="A5" s="80" t="s">
        <v>103</v>
      </c>
      <c r="B5" s="82" t="s">
        <v>105</v>
      </c>
      <c r="C5" s="84" t="s">
        <v>108</v>
      </c>
      <c r="D5" s="22"/>
    </row>
    <row r="6" ht="15.75" customHeight="1">
      <c r="A6" s="85" t="s">
        <v>26</v>
      </c>
      <c r="B6" s="86" t="s">
        <v>110</v>
      </c>
      <c r="C6" s="23"/>
      <c r="D6" s="25"/>
    </row>
    <row r="7" ht="15.75" customHeight="1">
      <c r="A7" s="89" t="str">
        <f t="shared" ref="A7:A14" si="1">IFERROR(VLOOKUP(B7,'4-CA'!$A$4:$B$105,2,FALSE),"")</f>
        <v/>
      </c>
      <c r="B7" s="86" t="s">
        <v>111</v>
      </c>
      <c r="C7" s="23"/>
      <c r="D7" s="25"/>
    </row>
    <row r="8" ht="15.75" customHeight="1">
      <c r="A8" s="89" t="str">
        <f t="shared" si="1"/>
        <v/>
      </c>
      <c r="B8" s="86" t="s">
        <v>112</v>
      </c>
      <c r="C8" s="23"/>
      <c r="D8" s="25"/>
    </row>
    <row r="9" ht="15.75" customHeight="1">
      <c r="A9" s="89" t="str">
        <f t="shared" si="1"/>
        <v/>
      </c>
      <c r="B9" s="86" t="s">
        <v>113</v>
      </c>
      <c r="C9" s="23"/>
      <c r="D9" s="25"/>
    </row>
    <row r="10" ht="15.75" customHeight="1">
      <c r="A10" s="89" t="str">
        <f t="shared" si="1"/>
        <v/>
      </c>
      <c r="B10" s="86" t="s">
        <v>114</v>
      </c>
      <c r="C10" s="23"/>
      <c r="D10" s="25"/>
    </row>
    <row r="11" ht="15.75" customHeight="1">
      <c r="A11" s="89" t="str">
        <f t="shared" si="1"/>
        <v/>
      </c>
      <c r="B11" s="86" t="s">
        <v>115</v>
      </c>
      <c r="C11" s="23"/>
      <c r="D11" s="25"/>
    </row>
    <row r="12" ht="15.75" customHeight="1">
      <c r="A12" s="89" t="str">
        <f t="shared" si="1"/>
        <v/>
      </c>
      <c r="B12" s="86" t="s">
        <v>116</v>
      </c>
      <c r="C12" s="23"/>
      <c r="D12" s="25"/>
    </row>
    <row r="13" ht="15.75" customHeight="1">
      <c r="A13" s="89" t="str">
        <f t="shared" si="1"/>
        <v/>
      </c>
      <c r="B13" s="86"/>
      <c r="C13" s="23"/>
      <c r="D13" s="25"/>
    </row>
    <row r="14" ht="15.75" customHeight="1">
      <c r="A14" s="89" t="str">
        <f t="shared" si="1"/>
        <v/>
      </c>
      <c r="B14" s="86"/>
      <c r="C14" s="27"/>
      <c r="D14" s="20"/>
    </row>
    <row r="15" ht="15.75" customHeight="1">
      <c r="A15" s="90" t="s">
        <v>119</v>
      </c>
      <c r="B15" s="4"/>
      <c r="C15" s="4"/>
      <c r="D15" s="5"/>
    </row>
    <row r="16">
      <c r="A16" s="91" t="s">
        <v>121</v>
      </c>
      <c r="B16" s="92" t="s">
        <v>122</v>
      </c>
      <c r="C16" s="91" t="s">
        <v>123</v>
      </c>
      <c r="D16" s="91" t="s">
        <v>124</v>
      </c>
    </row>
    <row r="17" ht="15.75" customHeight="1">
      <c r="A17" s="93"/>
      <c r="B17" s="93"/>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135</v>
      </c>
      <c r="B29" s="4"/>
      <c r="C29" s="4"/>
      <c r="D29" s="5"/>
    </row>
    <row r="30" ht="15.75" customHeight="1">
      <c r="A30" s="99"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152</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temporal'!$A6</f>
        <v>2- Accés a dades.</v>
      </c>
      <c r="C3" s="69" t="s">
        <v>77</v>
      </c>
      <c r="D3" s="76">
        <f>'6-Distribució temporal'!$L6</f>
        <v>40</v>
      </c>
    </row>
    <row r="4" ht="15.75" customHeight="1">
      <c r="A4" s="78" t="s">
        <v>96</v>
      </c>
      <c r="B4" s="4"/>
      <c r="C4" s="78" t="s">
        <v>100</v>
      </c>
      <c r="D4" s="5"/>
    </row>
    <row r="5" ht="15.75" customHeight="1">
      <c r="A5" s="80" t="s">
        <v>117</v>
      </c>
      <c r="B5" s="82" t="s">
        <v>105</v>
      </c>
      <c r="C5" s="84" t="s">
        <v>118</v>
      </c>
      <c r="D5" s="22"/>
    </row>
    <row r="6" ht="15.75" customHeight="1">
      <c r="A6" s="85" t="s">
        <v>49</v>
      </c>
      <c r="B6" s="86" t="s">
        <v>120</v>
      </c>
      <c r="C6" s="23"/>
      <c r="D6" s="25"/>
    </row>
    <row r="7" ht="15.75" customHeight="1">
      <c r="A7" s="89" t="str">
        <f t="shared" ref="A7:A14" si="1">IFERROR(VLOOKUP(B7,'4-CA'!$A$4:$B$105,2,FALSE),"")</f>
        <v/>
      </c>
      <c r="B7" s="86" t="s">
        <v>125</v>
      </c>
      <c r="C7" s="23"/>
      <c r="D7" s="25"/>
    </row>
    <row r="8" ht="15.75" customHeight="1">
      <c r="A8" s="89" t="str">
        <f t="shared" si="1"/>
        <v/>
      </c>
      <c r="B8" s="86" t="s">
        <v>126</v>
      </c>
      <c r="C8" s="23"/>
      <c r="D8" s="25"/>
    </row>
    <row r="9" ht="15.75" customHeight="1">
      <c r="A9" s="89" t="str">
        <f t="shared" si="1"/>
        <v/>
      </c>
      <c r="B9" s="86" t="s">
        <v>127</v>
      </c>
      <c r="C9" s="23"/>
      <c r="D9" s="25"/>
    </row>
    <row r="10" ht="15.75" customHeight="1">
      <c r="A10" s="89" t="str">
        <f t="shared" si="1"/>
        <v/>
      </c>
      <c r="B10" s="86" t="s">
        <v>128</v>
      </c>
      <c r="C10" s="23"/>
      <c r="D10" s="25"/>
    </row>
    <row r="11" ht="15.75" customHeight="1">
      <c r="A11" s="89" t="str">
        <f t="shared" si="1"/>
        <v/>
      </c>
      <c r="B11" s="86" t="s">
        <v>129</v>
      </c>
      <c r="C11" s="23"/>
      <c r="D11" s="25"/>
    </row>
    <row r="12" ht="15.75" customHeight="1">
      <c r="A12" s="89" t="str">
        <f t="shared" si="1"/>
        <v/>
      </c>
      <c r="B12" s="86" t="s">
        <v>130</v>
      </c>
      <c r="C12" s="23"/>
      <c r="D12" s="25"/>
    </row>
    <row r="13" ht="15.75" customHeight="1">
      <c r="A13" s="89" t="str">
        <f t="shared" si="1"/>
        <v/>
      </c>
      <c r="B13" s="86"/>
      <c r="C13" s="23"/>
      <c r="D13" s="25"/>
    </row>
    <row r="14" ht="15.75" customHeight="1">
      <c r="A14" s="89" t="str">
        <f t="shared" si="1"/>
        <v/>
      </c>
      <c r="B14" s="86"/>
      <c r="C14" s="27"/>
      <c r="D14" s="20"/>
    </row>
    <row r="15" ht="15.75" customHeight="1">
      <c r="A15" s="90" t="s">
        <v>131</v>
      </c>
      <c r="B15" s="4"/>
      <c r="C15" s="4"/>
      <c r="D15" s="5"/>
    </row>
    <row r="16">
      <c r="A16" s="91" t="s">
        <v>121</v>
      </c>
      <c r="B16" s="92" t="s">
        <v>122</v>
      </c>
      <c r="C16" s="91" t="s">
        <v>123</v>
      </c>
      <c r="D16" s="91" t="s">
        <v>124</v>
      </c>
    </row>
    <row r="17" ht="15.75" customHeight="1">
      <c r="A17" s="93"/>
      <c r="B17" s="93"/>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136</v>
      </c>
      <c r="B29" s="4"/>
      <c r="C29" s="4"/>
      <c r="D29" s="5"/>
    </row>
    <row r="30" ht="15.75" customHeight="1">
      <c r="A30" s="99"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147</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temporal'!$A7</f>
        <v>3- Serveis web</v>
      </c>
      <c r="C3" s="69" t="s">
        <v>77</v>
      </c>
      <c r="D3" s="76">
        <f>'6-Distribució temporal'!$L7</f>
        <v>50</v>
      </c>
    </row>
    <row r="4" ht="15.75" customHeight="1">
      <c r="A4" s="78" t="s">
        <v>96</v>
      </c>
      <c r="B4" s="4"/>
      <c r="C4" s="78" t="s">
        <v>100</v>
      </c>
      <c r="D4" s="5"/>
    </row>
    <row r="5" ht="15.75" customHeight="1">
      <c r="A5" s="80" t="s">
        <v>132</v>
      </c>
      <c r="B5" s="82" t="s">
        <v>105</v>
      </c>
      <c r="C5" s="84" t="s">
        <v>133</v>
      </c>
      <c r="D5" s="22"/>
    </row>
    <row r="6" ht="15.75" customHeight="1">
      <c r="A6" s="85" t="s">
        <v>51</v>
      </c>
      <c r="B6" s="86" t="s">
        <v>134</v>
      </c>
      <c r="C6" s="23"/>
      <c r="D6" s="25"/>
    </row>
    <row r="7" ht="15.75" customHeight="1">
      <c r="A7" s="89" t="str">
        <f t="shared" ref="A7:A13" si="1">IFERROR(VLOOKUP(B7,'4-CA'!$A$4:$B$105,2,FALSE),"")</f>
        <v/>
      </c>
      <c r="B7" s="86" t="s">
        <v>137</v>
      </c>
      <c r="C7" s="23"/>
      <c r="D7" s="25"/>
    </row>
    <row r="8" ht="15.75" customHeight="1">
      <c r="A8" s="89" t="str">
        <f t="shared" si="1"/>
        <v/>
      </c>
      <c r="B8" s="86" t="s">
        <v>138</v>
      </c>
      <c r="C8" s="23"/>
      <c r="D8" s="25"/>
    </row>
    <row r="9" ht="15.75" customHeight="1">
      <c r="A9" s="89" t="str">
        <f t="shared" si="1"/>
        <v/>
      </c>
      <c r="B9" s="86" t="s">
        <v>140</v>
      </c>
      <c r="C9" s="23"/>
      <c r="D9" s="25"/>
    </row>
    <row r="10" ht="15.75" customHeight="1">
      <c r="A10" s="89" t="str">
        <f t="shared" si="1"/>
        <v/>
      </c>
      <c r="B10" s="86" t="s">
        <v>141</v>
      </c>
      <c r="C10" s="23"/>
      <c r="D10" s="25"/>
    </row>
    <row r="11" ht="15.75" customHeight="1">
      <c r="A11" s="89" t="str">
        <f t="shared" si="1"/>
        <v/>
      </c>
      <c r="B11" s="86" t="s">
        <v>142</v>
      </c>
      <c r="C11" s="23"/>
      <c r="D11" s="25"/>
    </row>
    <row r="12" ht="15.75" customHeight="1">
      <c r="A12" s="89" t="str">
        <f t="shared" si="1"/>
        <v/>
      </c>
      <c r="B12" s="86" t="s">
        <v>143</v>
      </c>
      <c r="C12" s="23"/>
      <c r="D12" s="25"/>
    </row>
    <row r="13" ht="15.75" customHeight="1">
      <c r="A13" s="89" t="str">
        <f t="shared" si="1"/>
        <v/>
      </c>
      <c r="B13" s="86" t="s">
        <v>144</v>
      </c>
      <c r="C13" s="23"/>
      <c r="D13" s="25"/>
    </row>
    <row r="14" ht="15.75" customHeight="1">
      <c r="A14" s="85" t="s">
        <v>55</v>
      </c>
      <c r="B14" s="86" t="s">
        <v>145</v>
      </c>
      <c r="C14" s="23"/>
      <c r="D14" s="25"/>
    </row>
    <row r="15" ht="15.75" customHeight="1">
      <c r="A15" s="85"/>
      <c r="B15" s="86" t="s">
        <v>146</v>
      </c>
      <c r="C15" s="23"/>
      <c r="D15" s="25"/>
    </row>
    <row r="16" ht="15.75" customHeight="1">
      <c r="A16" s="85"/>
      <c r="B16" s="86" t="s">
        <v>148</v>
      </c>
      <c r="C16" s="23"/>
      <c r="D16" s="25"/>
    </row>
    <row r="17" ht="15.75" customHeight="1">
      <c r="A17" s="85"/>
      <c r="B17" s="86" t="s">
        <v>149</v>
      </c>
      <c r="C17" s="23"/>
      <c r="D17" s="25"/>
    </row>
    <row r="18" ht="15.75" customHeight="1">
      <c r="A18" s="85"/>
      <c r="B18" s="86" t="s">
        <v>150</v>
      </c>
      <c r="C18" s="23"/>
      <c r="D18" s="25"/>
    </row>
    <row r="19" ht="15.75" customHeight="1">
      <c r="A19" s="85"/>
      <c r="B19" s="86" t="s">
        <v>151</v>
      </c>
      <c r="C19" s="23"/>
      <c r="D19" s="25"/>
    </row>
    <row r="20" ht="15.75" customHeight="1">
      <c r="A20" s="85"/>
      <c r="B20" s="86" t="s">
        <v>153</v>
      </c>
      <c r="C20" s="23"/>
      <c r="D20" s="25"/>
    </row>
    <row r="21" ht="15.75" customHeight="1">
      <c r="A21" s="85"/>
      <c r="B21" s="86" t="s">
        <v>154</v>
      </c>
      <c r="C21" s="27"/>
      <c r="D21" s="20"/>
    </row>
    <row r="22" ht="15.75" customHeight="1">
      <c r="A22" s="89"/>
      <c r="B22" s="86"/>
      <c r="C22" s="86"/>
      <c r="D22" s="86"/>
    </row>
    <row r="23" ht="15.75" customHeight="1">
      <c r="A23" s="90" t="s">
        <v>155</v>
      </c>
      <c r="B23" s="4"/>
      <c r="C23" s="4"/>
      <c r="D23" s="5"/>
    </row>
    <row r="24">
      <c r="A24" s="91" t="s">
        <v>121</v>
      </c>
      <c r="B24" s="92" t="s">
        <v>122</v>
      </c>
      <c r="C24" s="91" t="s">
        <v>123</v>
      </c>
      <c r="D24" s="91" t="s">
        <v>124</v>
      </c>
    </row>
    <row r="25" ht="15.75" customHeight="1">
      <c r="A25" s="93"/>
      <c r="B25" s="93"/>
      <c r="C25" s="94"/>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6"/>
      <c r="B29" s="96"/>
      <c r="C29" s="97"/>
      <c r="D29" s="95"/>
    </row>
    <row r="30" ht="15.75" customHeight="1">
      <c r="A30" s="96"/>
      <c r="B30" s="96"/>
      <c r="C30" s="97"/>
      <c r="D30" s="95"/>
    </row>
    <row r="31" ht="15.75" customHeight="1">
      <c r="A31" s="96"/>
      <c r="B31" s="96"/>
      <c r="C31" s="97"/>
      <c r="D31" s="95"/>
    </row>
    <row r="32" ht="15.75" customHeight="1">
      <c r="A32" s="96"/>
      <c r="B32" s="96"/>
      <c r="C32" s="97"/>
      <c r="D32" s="95"/>
    </row>
    <row r="33" ht="15.75" customHeight="1">
      <c r="A33" s="96"/>
      <c r="B33" s="96"/>
      <c r="C33" s="97"/>
      <c r="D33" s="95"/>
    </row>
    <row r="34" ht="15.75" customHeight="1">
      <c r="A34" s="96"/>
      <c r="B34" s="96"/>
      <c r="C34" s="97"/>
      <c r="D34" s="95"/>
    </row>
    <row r="35" ht="15.75" customHeight="1">
      <c r="A35" s="96"/>
      <c r="B35" s="96"/>
      <c r="C35" s="97"/>
      <c r="D35" s="95"/>
    </row>
    <row r="36" ht="15.75" customHeight="1">
      <c r="A36" s="96"/>
      <c r="B36" s="96"/>
      <c r="C36" s="97"/>
      <c r="D36" s="95"/>
    </row>
    <row r="37" ht="15.75" customHeight="1">
      <c r="A37" s="98" t="s">
        <v>156</v>
      </c>
      <c r="B37" s="4"/>
      <c r="C37" s="4"/>
      <c r="D37" s="5"/>
    </row>
    <row r="38" ht="15.75" customHeight="1">
      <c r="A38" s="99" t="s">
        <v>139</v>
      </c>
      <c r="B38" s="19"/>
      <c r="C38" s="19"/>
      <c r="D38" s="22"/>
    </row>
    <row r="39" ht="15.75" customHeight="1">
      <c r="A39" s="23"/>
      <c r="D39" s="25"/>
    </row>
    <row r="40" ht="15.75" customHeight="1">
      <c r="A40" s="23"/>
      <c r="D40" s="25"/>
    </row>
    <row r="41" ht="15.75" customHeight="1">
      <c r="A41" s="23"/>
      <c r="D41" s="25"/>
    </row>
    <row r="42" ht="15.75" customHeight="1">
      <c r="A42" s="23"/>
      <c r="D42" s="25"/>
    </row>
    <row r="43" ht="15.75" customHeight="1">
      <c r="A43" s="23"/>
      <c r="D43" s="25"/>
    </row>
    <row r="44" ht="15.75" customHeight="1">
      <c r="A44" s="27"/>
      <c r="B44" s="16"/>
      <c r="C44" s="16"/>
      <c r="D44" s="20"/>
    </row>
    <row r="45" ht="15.75" customHeight="1">
      <c r="A45" s="100"/>
      <c r="B45" s="100"/>
      <c r="C45" s="100"/>
      <c r="D45" s="100"/>
    </row>
    <row r="46" ht="106.5" customHeight="1">
      <c r="A46" s="101" t="s">
        <v>157</v>
      </c>
      <c r="B46" s="4"/>
      <c r="C46" s="4"/>
      <c r="D46" s="5"/>
    </row>
    <row r="47" ht="15.75" customHeight="1">
      <c r="A47" s="102"/>
    </row>
    <row r="48" ht="15.75" customHeight="1">
      <c r="A48" s="103"/>
    </row>
    <row r="49" ht="15.75" customHeight="1">
      <c r="A49" s="104"/>
      <c r="B49" s="104"/>
      <c r="C49" s="104"/>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1">
    <mergeCell ref="A38:D44"/>
    <mergeCell ref="A46:D46"/>
    <mergeCell ref="A47:D47"/>
    <mergeCell ref="A48:D48"/>
    <mergeCell ref="A1:D1"/>
    <mergeCell ref="A2:D2"/>
    <mergeCell ref="A4:B4"/>
    <mergeCell ref="C4:D4"/>
    <mergeCell ref="C5:D21"/>
    <mergeCell ref="A23:D23"/>
    <mergeCell ref="A37:D3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temporal'!$A8</f>
        <v>4- Aplicacions web</v>
      </c>
      <c r="C3" s="69" t="s">
        <v>77</v>
      </c>
      <c r="D3" s="76">
        <f>'6-Distribució temporal'!$L8</f>
        <v>120</v>
      </c>
    </row>
    <row r="4" ht="15.75" customHeight="1">
      <c r="A4" s="78" t="s">
        <v>96</v>
      </c>
      <c r="B4" s="4"/>
      <c r="C4" s="78" t="s">
        <v>100</v>
      </c>
      <c r="D4" s="5"/>
    </row>
    <row r="5" ht="15.75" customHeight="1">
      <c r="A5" s="80" t="s">
        <v>158</v>
      </c>
      <c r="B5" s="82" t="s">
        <v>105</v>
      </c>
      <c r="C5" s="84" t="s">
        <v>159</v>
      </c>
      <c r="D5" s="22"/>
    </row>
    <row r="6" ht="15.75" customHeight="1">
      <c r="A6" s="85" t="s">
        <v>38</v>
      </c>
      <c r="B6" s="86" t="s">
        <v>160</v>
      </c>
      <c r="C6" s="23"/>
      <c r="D6" s="25"/>
    </row>
    <row r="7" ht="15.75" customHeight="1">
      <c r="A7" s="85"/>
      <c r="B7" s="86" t="s">
        <v>161</v>
      </c>
      <c r="C7" s="23"/>
      <c r="D7" s="25"/>
    </row>
    <row r="8" ht="15.75" customHeight="1">
      <c r="A8" s="85"/>
      <c r="B8" s="86" t="s">
        <v>162</v>
      </c>
      <c r="C8" s="23"/>
      <c r="D8" s="25"/>
    </row>
    <row r="9" ht="15.75" customHeight="1">
      <c r="A9" s="85"/>
      <c r="B9" s="86" t="s">
        <v>163</v>
      </c>
      <c r="C9" s="23"/>
      <c r="D9" s="25"/>
    </row>
    <row r="10" ht="15.75" customHeight="1">
      <c r="A10" s="85"/>
      <c r="B10" s="86" t="s">
        <v>164</v>
      </c>
      <c r="C10" s="23"/>
      <c r="D10" s="25"/>
    </row>
    <row r="11" ht="15.75" customHeight="1">
      <c r="A11" s="89"/>
      <c r="B11" s="86" t="s">
        <v>165</v>
      </c>
      <c r="C11" s="23"/>
      <c r="D11" s="25"/>
    </row>
    <row r="12" ht="15.75" customHeight="1">
      <c r="A12" s="89"/>
      <c r="B12" s="86" t="s">
        <v>166</v>
      </c>
      <c r="C12" s="23"/>
      <c r="D12" s="25"/>
    </row>
    <row r="13" ht="15.75" customHeight="1">
      <c r="A13" s="89"/>
      <c r="B13" s="86" t="s">
        <v>167</v>
      </c>
      <c r="C13" s="23"/>
      <c r="D13" s="25"/>
    </row>
    <row r="14" ht="15.75" customHeight="1">
      <c r="A14" s="85" t="s">
        <v>43</v>
      </c>
      <c r="B14" s="86" t="s">
        <v>168</v>
      </c>
      <c r="C14" s="23"/>
      <c r="D14" s="25"/>
    </row>
    <row r="15" ht="15.75" customHeight="1">
      <c r="A15" s="89"/>
      <c r="B15" s="86" t="s">
        <v>170</v>
      </c>
      <c r="C15" s="23"/>
      <c r="D15" s="25"/>
    </row>
    <row r="16" ht="15.75" customHeight="1">
      <c r="A16" s="89"/>
      <c r="B16" s="86" t="s">
        <v>171</v>
      </c>
      <c r="C16" s="23"/>
      <c r="D16" s="25"/>
    </row>
    <row r="17" ht="15.75" customHeight="1">
      <c r="A17" s="89"/>
      <c r="B17" s="86" t="s">
        <v>172</v>
      </c>
      <c r="C17" s="23"/>
      <c r="D17" s="25"/>
    </row>
    <row r="18" ht="15.75" customHeight="1">
      <c r="A18" s="89"/>
      <c r="B18" s="86" t="s">
        <v>173</v>
      </c>
      <c r="C18" s="23"/>
      <c r="D18" s="25"/>
    </row>
    <row r="19" ht="15.75" customHeight="1">
      <c r="A19" s="89"/>
      <c r="B19" s="86" t="s">
        <v>174</v>
      </c>
      <c r="C19" s="23"/>
      <c r="D19" s="25"/>
    </row>
    <row r="20" ht="15.75" customHeight="1">
      <c r="A20" s="89"/>
      <c r="B20" s="86" t="s">
        <v>175</v>
      </c>
      <c r="C20" s="23"/>
      <c r="D20" s="25"/>
    </row>
    <row r="21" ht="15.75" customHeight="1">
      <c r="A21" s="85" t="s">
        <v>45</v>
      </c>
      <c r="B21" s="86" t="s">
        <v>176</v>
      </c>
      <c r="C21" s="23"/>
      <c r="D21" s="25"/>
    </row>
    <row r="22" ht="15.75" customHeight="1">
      <c r="A22" s="89"/>
      <c r="B22" s="86" t="s">
        <v>177</v>
      </c>
      <c r="C22" s="23"/>
      <c r="D22" s="25"/>
    </row>
    <row r="23" ht="15.75" customHeight="1">
      <c r="A23" s="89"/>
      <c r="B23" s="86" t="s">
        <v>178</v>
      </c>
      <c r="C23" s="23"/>
      <c r="D23" s="25"/>
    </row>
    <row r="24" ht="15.75" customHeight="1">
      <c r="A24" s="89"/>
      <c r="B24" s="86" t="s">
        <v>179</v>
      </c>
      <c r="C24" s="23"/>
      <c r="D24" s="25"/>
    </row>
    <row r="25" ht="15.75" customHeight="1">
      <c r="A25" s="89"/>
      <c r="B25" s="86" t="s">
        <v>180</v>
      </c>
      <c r="C25" s="23"/>
      <c r="D25" s="25"/>
    </row>
    <row r="26" ht="15.75" customHeight="1">
      <c r="A26" s="89"/>
      <c r="B26" s="86" t="s">
        <v>181</v>
      </c>
      <c r="C26" s="23"/>
      <c r="D26" s="25"/>
    </row>
    <row r="27" ht="15.75" customHeight="1">
      <c r="A27" s="85" t="s">
        <v>47</v>
      </c>
      <c r="B27" s="86" t="s">
        <v>182</v>
      </c>
      <c r="C27" s="23"/>
      <c r="D27" s="25"/>
    </row>
    <row r="28" ht="15.75" customHeight="1">
      <c r="A28" s="89"/>
      <c r="B28" s="86" t="s">
        <v>183</v>
      </c>
      <c r="C28" s="23"/>
      <c r="D28" s="25"/>
    </row>
    <row r="29" ht="15.75" customHeight="1">
      <c r="A29" s="89"/>
      <c r="B29" s="86" t="s">
        <v>184</v>
      </c>
      <c r="C29" s="23"/>
      <c r="D29" s="25"/>
    </row>
    <row r="30" ht="15.75" customHeight="1">
      <c r="A30" s="89"/>
      <c r="B30" s="86" t="s">
        <v>185</v>
      </c>
      <c r="C30" s="23"/>
      <c r="D30" s="25"/>
    </row>
    <row r="31" ht="15.75" customHeight="1">
      <c r="A31" s="89"/>
      <c r="B31" s="86" t="s">
        <v>186</v>
      </c>
      <c r="C31" s="23"/>
      <c r="D31" s="25"/>
    </row>
    <row r="32" ht="15.75" customHeight="1">
      <c r="A32" s="89"/>
      <c r="B32" s="86" t="s">
        <v>187</v>
      </c>
      <c r="C32" s="23"/>
      <c r="D32" s="25"/>
    </row>
    <row r="33" ht="15.75" customHeight="1">
      <c r="A33" s="89" t="str">
        <f>IFERROR(VLOOKUP(B33,'4-CA'!$A$4:$B$105,2,FALSE),"")</f>
        <v/>
      </c>
      <c r="B33" s="86" t="s">
        <v>190</v>
      </c>
      <c r="C33" s="23"/>
      <c r="D33" s="25"/>
    </row>
    <row r="34" ht="15.75" customHeight="1">
      <c r="A34" s="89"/>
      <c r="B34" s="86" t="s">
        <v>191</v>
      </c>
      <c r="C34" s="23"/>
      <c r="D34" s="25"/>
    </row>
    <row r="35" ht="15.75" customHeight="1">
      <c r="A35" s="85" t="s">
        <v>53</v>
      </c>
      <c r="B35" s="86" t="s">
        <v>192</v>
      </c>
      <c r="C35" s="23"/>
      <c r="D35" s="25"/>
    </row>
    <row r="36" ht="15.75" customHeight="1">
      <c r="A36" s="89"/>
      <c r="B36" s="86" t="s">
        <v>193</v>
      </c>
      <c r="C36" s="23"/>
      <c r="D36" s="25"/>
    </row>
    <row r="37" ht="15.75" customHeight="1">
      <c r="A37" s="89"/>
      <c r="B37" s="86" t="s">
        <v>194</v>
      </c>
      <c r="C37" s="23"/>
      <c r="D37" s="25"/>
    </row>
    <row r="38" ht="15.75" customHeight="1">
      <c r="A38" s="89" t="str">
        <f t="shared" ref="A38:A44" si="1">IFERROR(VLOOKUP(B38,'4-CA'!$A$4:$B$105,2,FALSE),"")</f>
        <v/>
      </c>
      <c r="B38" s="86" t="s">
        <v>195</v>
      </c>
      <c r="C38" s="23"/>
      <c r="D38" s="25"/>
    </row>
    <row r="39" ht="15.75" customHeight="1">
      <c r="A39" s="89" t="str">
        <f t="shared" si="1"/>
        <v/>
      </c>
      <c r="B39" s="86" t="s">
        <v>196</v>
      </c>
      <c r="C39" s="23"/>
      <c r="D39" s="25"/>
    </row>
    <row r="40" ht="15.75" customHeight="1">
      <c r="A40" s="89" t="str">
        <f t="shared" si="1"/>
        <v/>
      </c>
      <c r="B40" s="86" t="s">
        <v>197</v>
      </c>
      <c r="C40" s="23"/>
      <c r="D40" s="25"/>
    </row>
    <row r="41" ht="15.75" customHeight="1">
      <c r="A41" s="89" t="str">
        <f t="shared" si="1"/>
        <v/>
      </c>
      <c r="B41" s="86" t="s">
        <v>199</v>
      </c>
      <c r="C41" s="23"/>
      <c r="D41" s="25"/>
    </row>
    <row r="42" ht="15.75" customHeight="1">
      <c r="A42" s="89" t="str">
        <f t="shared" si="1"/>
        <v/>
      </c>
      <c r="B42" s="86"/>
      <c r="C42" s="23"/>
      <c r="D42" s="25"/>
    </row>
    <row r="43" ht="15.75" customHeight="1">
      <c r="A43" s="89" t="str">
        <f t="shared" si="1"/>
        <v/>
      </c>
      <c r="B43" s="86"/>
      <c r="C43" s="23"/>
      <c r="D43" s="25"/>
    </row>
    <row r="44" ht="15.75" customHeight="1">
      <c r="A44" s="89" t="str">
        <f t="shared" si="1"/>
        <v/>
      </c>
      <c r="B44" s="86"/>
      <c r="C44" s="27"/>
      <c r="D44" s="20"/>
    </row>
    <row r="45" ht="15.75" customHeight="1">
      <c r="A45" s="90" t="s">
        <v>202</v>
      </c>
      <c r="B45" s="4"/>
      <c r="C45" s="4"/>
      <c r="D45" s="5"/>
    </row>
    <row r="46">
      <c r="A46" s="91" t="s">
        <v>121</v>
      </c>
      <c r="B46" s="92" t="s">
        <v>122</v>
      </c>
      <c r="C46" s="91" t="s">
        <v>123</v>
      </c>
      <c r="D46" s="91" t="s">
        <v>124</v>
      </c>
    </row>
    <row r="47" ht="15.75" customHeight="1">
      <c r="A47" s="93"/>
      <c r="B47" s="93"/>
      <c r="C47" s="94"/>
      <c r="D47" s="95"/>
    </row>
    <row r="48" ht="15.75" customHeight="1">
      <c r="A48" s="96"/>
      <c r="B48" s="96"/>
      <c r="C48" s="97"/>
      <c r="D48" s="95"/>
    </row>
    <row r="49" ht="15.75" customHeight="1">
      <c r="A49" s="96"/>
      <c r="B49" s="96"/>
      <c r="C49" s="97"/>
      <c r="D49" s="95"/>
    </row>
    <row r="50" ht="15.75" customHeight="1">
      <c r="A50" s="96"/>
      <c r="B50" s="96"/>
      <c r="C50" s="97"/>
      <c r="D50" s="95"/>
    </row>
    <row r="51" ht="15.75" customHeight="1">
      <c r="A51" s="96"/>
      <c r="B51" s="96"/>
      <c r="C51" s="97"/>
      <c r="D51" s="95"/>
    </row>
    <row r="52" ht="15.75" customHeight="1">
      <c r="A52" s="96"/>
      <c r="B52" s="96"/>
      <c r="C52" s="97"/>
      <c r="D52" s="95"/>
    </row>
    <row r="53" ht="15.75" customHeight="1">
      <c r="A53" s="96"/>
      <c r="B53" s="96"/>
      <c r="C53" s="97"/>
      <c r="D53" s="95"/>
    </row>
    <row r="54" ht="15.75" customHeight="1">
      <c r="A54" s="96"/>
      <c r="B54" s="96"/>
      <c r="C54" s="97"/>
      <c r="D54" s="95"/>
    </row>
    <row r="55" ht="15.75" customHeight="1">
      <c r="A55" s="96"/>
      <c r="B55" s="96"/>
      <c r="C55" s="97"/>
      <c r="D55" s="95"/>
    </row>
    <row r="56" ht="15.75" customHeight="1">
      <c r="A56" s="96"/>
      <c r="B56" s="96"/>
      <c r="C56" s="97"/>
      <c r="D56" s="95"/>
    </row>
    <row r="57" ht="15.75" customHeight="1">
      <c r="A57" s="96"/>
      <c r="B57" s="96"/>
      <c r="C57" s="97"/>
      <c r="D57" s="95"/>
    </row>
    <row r="58" ht="15.75" customHeight="1">
      <c r="A58" s="96"/>
      <c r="B58" s="96"/>
      <c r="C58" s="97"/>
      <c r="D58" s="95"/>
    </row>
    <row r="59" ht="15.75" customHeight="1">
      <c r="A59" s="98" t="s">
        <v>205</v>
      </c>
      <c r="B59" s="4"/>
      <c r="C59" s="4"/>
      <c r="D59" s="5"/>
    </row>
    <row r="60" ht="15.75" customHeight="1">
      <c r="A60" s="99" t="s">
        <v>139</v>
      </c>
      <c r="B60" s="19"/>
      <c r="C60" s="19"/>
      <c r="D60" s="22"/>
    </row>
    <row r="61" ht="15.75" customHeight="1">
      <c r="A61" s="23"/>
      <c r="D61" s="25"/>
    </row>
    <row r="62" ht="15.75" customHeight="1">
      <c r="A62" s="23"/>
      <c r="D62" s="25"/>
    </row>
    <row r="63" ht="15.75" customHeight="1">
      <c r="A63" s="23"/>
      <c r="D63" s="25"/>
    </row>
    <row r="64" ht="15.75" customHeight="1">
      <c r="A64" s="23"/>
      <c r="D64" s="25"/>
    </row>
    <row r="65" ht="15.75" customHeight="1">
      <c r="A65" s="23"/>
      <c r="D65" s="25"/>
    </row>
    <row r="66" ht="15.75" customHeight="1">
      <c r="A66" s="27"/>
      <c r="B66" s="16"/>
      <c r="C66" s="16"/>
      <c r="D66" s="20"/>
    </row>
    <row r="67" ht="15.75" customHeight="1">
      <c r="A67" s="100"/>
      <c r="B67" s="100"/>
      <c r="C67" s="100"/>
      <c r="D67" s="100"/>
    </row>
    <row r="68" ht="106.5" customHeight="1">
      <c r="A68" s="101" t="s">
        <v>208</v>
      </c>
      <c r="B68" s="4"/>
      <c r="C68" s="4"/>
      <c r="D68" s="5"/>
    </row>
    <row r="69" ht="15.75" customHeight="1">
      <c r="A69" s="102"/>
    </row>
    <row r="70" ht="15.75" customHeight="1">
      <c r="A70" s="103"/>
    </row>
    <row r="71" ht="15.75" customHeight="1">
      <c r="A71" s="104"/>
      <c r="B71" s="104"/>
      <c r="C71" s="104"/>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11">
    <mergeCell ref="A60:D66"/>
    <mergeCell ref="A68:D68"/>
    <mergeCell ref="A69:D69"/>
    <mergeCell ref="A70:D70"/>
    <mergeCell ref="A1:D1"/>
    <mergeCell ref="A2:D2"/>
    <mergeCell ref="A4:B4"/>
    <mergeCell ref="C4:D4"/>
    <mergeCell ref="C5:D44"/>
    <mergeCell ref="A45:D45"/>
    <mergeCell ref="A59:D5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temporal'!$A9</f>
        <v>5-</v>
      </c>
      <c r="C3" s="69" t="s">
        <v>77</v>
      </c>
      <c r="D3" s="76" t="str">
        <f>'6-Distribució temporal'!$L9</f>
        <v/>
      </c>
    </row>
    <row r="4" ht="15.75" customHeight="1">
      <c r="A4" s="78" t="s">
        <v>96</v>
      </c>
      <c r="B4" s="4"/>
      <c r="C4" s="78" t="s">
        <v>100</v>
      </c>
      <c r="D4" s="5"/>
    </row>
    <row r="5" ht="15.75" customHeight="1">
      <c r="A5" s="80" t="s">
        <v>169</v>
      </c>
      <c r="B5" s="82" t="s">
        <v>105</v>
      </c>
      <c r="C5" s="84"/>
      <c r="D5" s="22"/>
    </row>
    <row r="6" ht="15.75" customHeight="1">
      <c r="A6" s="85"/>
      <c r="B6" s="86"/>
      <c r="C6" s="23"/>
      <c r="D6" s="25"/>
    </row>
    <row r="7" ht="15.75" customHeight="1">
      <c r="A7" s="89" t="str">
        <f t="shared" ref="A7:A14" si="1">IFERROR(VLOOKUP(B7,'4-CA'!$A$4:$B$105,2,FALSE),"")</f>
        <v/>
      </c>
      <c r="B7" s="86"/>
      <c r="C7" s="23"/>
      <c r="D7" s="25"/>
    </row>
    <row r="8" ht="15.75" customHeight="1">
      <c r="A8" s="89" t="str">
        <f t="shared" si="1"/>
        <v/>
      </c>
      <c r="B8" s="86"/>
      <c r="C8" s="23"/>
      <c r="D8" s="25"/>
    </row>
    <row r="9" ht="15.75" customHeight="1">
      <c r="A9" s="89" t="str">
        <f t="shared" si="1"/>
        <v/>
      </c>
      <c r="B9" s="86"/>
      <c r="C9" s="23"/>
      <c r="D9" s="25"/>
    </row>
    <row r="10" ht="15.75" customHeight="1">
      <c r="A10" s="89" t="str">
        <f t="shared" si="1"/>
        <v/>
      </c>
      <c r="B10" s="86"/>
      <c r="C10" s="23"/>
      <c r="D10" s="25"/>
    </row>
    <row r="11" ht="15.75" customHeight="1">
      <c r="A11" s="89" t="str">
        <f t="shared" si="1"/>
        <v/>
      </c>
      <c r="B11" s="86"/>
      <c r="C11" s="23"/>
      <c r="D11" s="25"/>
    </row>
    <row r="12" ht="15.75" customHeight="1">
      <c r="A12" s="89" t="str">
        <f t="shared" si="1"/>
        <v/>
      </c>
      <c r="B12" s="86"/>
      <c r="C12" s="23"/>
      <c r="D12" s="25"/>
    </row>
    <row r="13" ht="15.75" customHeight="1">
      <c r="A13" s="89" t="str">
        <f t="shared" si="1"/>
        <v/>
      </c>
      <c r="B13" s="86"/>
      <c r="C13" s="23"/>
      <c r="D13" s="25"/>
    </row>
    <row r="14" ht="15.75" customHeight="1">
      <c r="A14" s="89" t="str">
        <f t="shared" si="1"/>
        <v/>
      </c>
      <c r="B14" s="86"/>
      <c r="C14" s="27"/>
      <c r="D14" s="20"/>
    </row>
    <row r="15" ht="15.75" customHeight="1">
      <c r="A15" s="90" t="s">
        <v>189</v>
      </c>
      <c r="B15" s="4"/>
      <c r="C15" s="4"/>
      <c r="D15" s="5"/>
    </row>
    <row r="16">
      <c r="A16" s="91" t="s">
        <v>121</v>
      </c>
      <c r="B16" s="92" t="s">
        <v>122</v>
      </c>
      <c r="C16" s="91" t="s">
        <v>123</v>
      </c>
      <c r="D16" s="91" t="s">
        <v>124</v>
      </c>
    </row>
    <row r="17" ht="15.75" customHeight="1">
      <c r="A17" s="96"/>
      <c r="B17" s="96"/>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200</v>
      </c>
      <c r="B29" s="4"/>
      <c r="C29" s="4"/>
      <c r="D29" s="5"/>
    </row>
    <row r="30" ht="15.75" customHeight="1">
      <c r="A30" s="105"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203</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temporal'!$A10</f>
        <v>6-</v>
      </c>
      <c r="C3" s="69" t="s">
        <v>77</v>
      </c>
      <c r="D3" s="76" t="str">
        <f>'6-Distribució temporal'!$L10</f>
        <v/>
      </c>
    </row>
    <row r="4" ht="15.75" customHeight="1">
      <c r="A4" s="78" t="s">
        <v>96</v>
      </c>
      <c r="B4" s="4"/>
      <c r="C4" s="78" t="s">
        <v>100</v>
      </c>
      <c r="D4" s="5"/>
    </row>
    <row r="5" ht="15.75" customHeight="1">
      <c r="A5" s="80" t="s">
        <v>188</v>
      </c>
      <c r="B5" s="82" t="s">
        <v>105</v>
      </c>
      <c r="C5" s="84"/>
      <c r="D5" s="22"/>
    </row>
    <row r="6" ht="15.75" customHeight="1">
      <c r="A6" s="85"/>
      <c r="B6" s="86"/>
      <c r="C6" s="23"/>
      <c r="D6" s="25"/>
    </row>
    <row r="7" ht="15.75" customHeight="1">
      <c r="A7" s="89" t="str">
        <f t="shared" ref="A7:A14" si="1">IFERROR(VLOOKUP(B7,'4-CA'!$A$4:$B$105,2,FALSE),"")</f>
        <v/>
      </c>
      <c r="B7" s="86"/>
      <c r="C7" s="23"/>
      <c r="D7" s="25"/>
    </row>
    <row r="8" ht="15.75" customHeight="1">
      <c r="A8" s="89" t="str">
        <f t="shared" si="1"/>
        <v/>
      </c>
      <c r="B8" s="86"/>
      <c r="C8" s="23"/>
      <c r="D8" s="25"/>
    </row>
    <row r="9" ht="15.75" customHeight="1">
      <c r="A9" s="89" t="str">
        <f t="shared" si="1"/>
        <v/>
      </c>
      <c r="B9" s="86"/>
      <c r="C9" s="23"/>
      <c r="D9" s="25"/>
    </row>
    <row r="10" ht="15.75" customHeight="1">
      <c r="A10" s="89" t="str">
        <f t="shared" si="1"/>
        <v/>
      </c>
      <c r="B10" s="86"/>
      <c r="C10" s="23"/>
      <c r="D10" s="25"/>
    </row>
    <row r="11" ht="15.75" customHeight="1">
      <c r="A11" s="89" t="str">
        <f t="shared" si="1"/>
        <v/>
      </c>
      <c r="B11" s="86"/>
      <c r="C11" s="23"/>
      <c r="D11" s="25"/>
    </row>
    <row r="12" ht="15.75" customHeight="1">
      <c r="A12" s="89" t="str">
        <f t="shared" si="1"/>
        <v/>
      </c>
      <c r="B12" s="86"/>
      <c r="C12" s="23"/>
      <c r="D12" s="25"/>
    </row>
    <row r="13" ht="15.75" customHeight="1">
      <c r="A13" s="89" t="str">
        <f t="shared" si="1"/>
        <v/>
      </c>
      <c r="B13" s="86"/>
      <c r="C13" s="23"/>
      <c r="D13" s="25"/>
    </row>
    <row r="14" ht="15.75" customHeight="1">
      <c r="A14" s="89" t="str">
        <f t="shared" si="1"/>
        <v/>
      </c>
      <c r="B14" s="86"/>
      <c r="C14" s="27"/>
      <c r="D14" s="20"/>
    </row>
    <row r="15" ht="15.75" customHeight="1">
      <c r="A15" s="90" t="s">
        <v>201</v>
      </c>
      <c r="B15" s="4"/>
      <c r="C15" s="4"/>
      <c r="D15" s="5"/>
    </row>
    <row r="16">
      <c r="A16" s="91" t="s">
        <v>121</v>
      </c>
      <c r="B16" s="92" t="s">
        <v>122</v>
      </c>
      <c r="C16" s="91" t="s">
        <v>123</v>
      </c>
      <c r="D16" s="91" t="s">
        <v>124</v>
      </c>
    </row>
    <row r="17" ht="15.75" customHeight="1">
      <c r="A17" s="96"/>
      <c r="B17" s="96"/>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204</v>
      </c>
      <c r="B29" s="4"/>
      <c r="C29" s="4"/>
      <c r="D29" s="5"/>
    </row>
    <row r="30" ht="15.75" customHeight="1">
      <c r="A30" s="105"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207</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temporal'!$A11</f>
        <v>7-</v>
      </c>
      <c r="C3" s="69" t="s">
        <v>77</v>
      </c>
      <c r="D3" s="76" t="str">
        <f>'6-Distribució temporal'!$L11</f>
        <v/>
      </c>
    </row>
    <row r="4" ht="15.75" customHeight="1">
      <c r="A4" s="78" t="s">
        <v>96</v>
      </c>
      <c r="B4" s="4"/>
      <c r="C4" s="78" t="s">
        <v>100</v>
      </c>
      <c r="D4" s="5"/>
    </row>
    <row r="5" ht="15.75" customHeight="1">
      <c r="A5" s="80" t="s">
        <v>198</v>
      </c>
      <c r="B5" s="82" t="s">
        <v>105</v>
      </c>
      <c r="C5" s="84"/>
      <c r="D5" s="22"/>
    </row>
    <row r="6" ht="15.75" customHeight="1">
      <c r="A6" s="85"/>
      <c r="B6" s="86"/>
      <c r="C6" s="23"/>
      <c r="D6" s="25"/>
    </row>
    <row r="7" ht="15.75" customHeight="1">
      <c r="A7" s="89" t="str">
        <f t="shared" ref="A7:A14" si="1">IFERROR(VLOOKUP(B7,'4-CA'!$A$4:$B$105,2,FALSE),"")</f>
        <v/>
      </c>
      <c r="B7" s="86"/>
      <c r="C7" s="23"/>
      <c r="D7" s="25"/>
    </row>
    <row r="8" ht="15.75" customHeight="1">
      <c r="A8" s="89" t="str">
        <f t="shared" si="1"/>
        <v/>
      </c>
      <c r="B8" s="86"/>
      <c r="C8" s="23"/>
      <c r="D8" s="25"/>
    </row>
    <row r="9" ht="15.75" customHeight="1">
      <c r="A9" s="89" t="str">
        <f t="shared" si="1"/>
        <v/>
      </c>
      <c r="B9" s="86"/>
      <c r="C9" s="23"/>
      <c r="D9" s="25"/>
    </row>
    <row r="10" ht="15.75" customHeight="1">
      <c r="A10" s="89" t="str">
        <f t="shared" si="1"/>
        <v/>
      </c>
      <c r="B10" s="86"/>
      <c r="C10" s="23"/>
      <c r="D10" s="25"/>
    </row>
    <row r="11" ht="15.75" customHeight="1">
      <c r="A11" s="89" t="str">
        <f t="shared" si="1"/>
        <v/>
      </c>
      <c r="B11" s="86"/>
      <c r="C11" s="23"/>
      <c r="D11" s="25"/>
    </row>
    <row r="12" ht="15.75" customHeight="1">
      <c r="A12" s="89" t="str">
        <f t="shared" si="1"/>
        <v/>
      </c>
      <c r="B12" s="86"/>
      <c r="C12" s="23"/>
      <c r="D12" s="25"/>
    </row>
    <row r="13" ht="15.75" customHeight="1">
      <c r="A13" s="89" t="str">
        <f t="shared" si="1"/>
        <v/>
      </c>
      <c r="B13" s="86"/>
      <c r="C13" s="23"/>
      <c r="D13" s="25"/>
    </row>
    <row r="14" ht="15.75" customHeight="1">
      <c r="A14" s="89" t="str">
        <f t="shared" si="1"/>
        <v/>
      </c>
      <c r="B14" s="86"/>
      <c r="C14" s="27"/>
      <c r="D14" s="20"/>
    </row>
    <row r="15" ht="15.75" customHeight="1">
      <c r="A15" s="90" t="s">
        <v>206</v>
      </c>
      <c r="B15" s="4"/>
      <c r="C15" s="4"/>
      <c r="D15" s="5"/>
    </row>
    <row r="16">
      <c r="A16" s="91" t="s">
        <v>121</v>
      </c>
      <c r="B16" s="92" t="s">
        <v>122</v>
      </c>
      <c r="C16" s="91" t="s">
        <v>123</v>
      </c>
      <c r="D16" s="91" t="s">
        <v>124</v>
      </c>
    </row>
    <row r="17" ht="15.75" customHeight="1">
      <c r="A17" s="96"/>
      <c r="B17" s="96"/>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209</v>
      </c>
      <c r="B29" s="4"/>
      <c r="C29" s="4"/>
      <c r="D29" s="5"/>
    </row>
    <row r="30" ht="15.75" customHeight="1">
      <c r="A30" s="105"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210</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temporal'!$A12</f>
        <v>8-</v>
      </c>
      <c r="C3" s="69" t="s">
        <v>77</v>
      </c>
      <c r="D3" s="76" t="str">
        <f>'6-Distribució temporal'!$L12</f>
        <v/>
      </c>
    </row>
    <row r="4" ht="15.75" customHeight="1">
      <c r="A4" s="78" t="s">
        <v>96</v>
      </c>
      <c r="B4" s="4"/>
      <c r="C4" s="78" t="s">
        <v>100</v>
      </c>
      <c r="D4" s="5"/>
    </row>
    <row r="5" ht="15.75" customHeight="1">
      <c r="A5" s="80" t="s">
        <v>211</v>
      </c>
      <c r="B5" s="82" t="s">
        <v>105</v>
      </c>
      <c r="C5" s="84"/>
      <c r="D5" s="22"/>
    </row>
    <row r="6" ht="15.75" customHeight="1">
      <c r="A6" s="85"/>
      <c r="B6" s="86"/>
      <c r="C6" s="23"/>
      <c r="D6" s="25"/>
    </row>
    <row r="7" ht="15.75" customHeight="1">
      <c r="A7" s="89" t="str">
        <f t="shared" ref="A7:A14" si="1">IFERROR(VLOOKUP(B7,'4-CA'!$A$4:$B$105,2,FALSE),"")</f>
        <v/>
      </c>
      <c r="B7" s="86"/>
      <c r="C7" s="23"/>
      <c r="D7" s="25"/>
    </row>
    <row r="8" ht="15.75" customHeight="1">
      <c r="A8" s="89" t="str">
        <f t="shared" si="1"/>
        <v/>
      </c>
      <c r="B8" s="86"/>
      <c r="C8" s="23"/>
      <c r="D8" s="25"/>
    </row>
    <row r="9" ht="15.75" customHeight="1">
      <c r="A9" s="89" t="str">
        <f t="shared" si="1"/>
        <v/>
      </c>
      <c r="B9" s="86"/>
      <c r="C9" s="23"/>
      <c r="D9" s="25"/>
    </row>
    <row r="10" ht="15.75" customHeight="1">
      <c r="A10" s="89" t="str">
        <f t="shared" si="1"/>
        <v/>
      </c>
      <c r="B10" s="86"/>
      <c r="C10" s="23"/>
      <c r="D10" s="25"/>
    </row>
    <row r="11" ht="15.75" customHeight="1">
      <c r="A11" s="89" t="str">
        <f t="shared" si="1"/>
        <v/>
      </c>
      <c r="B11" s="86"/>
      <c r="C11" s="23"/>
      <c r="D11" s="25"/>
    </row>
    <row r="12" ht="15.75" customHeight="1">
      <c r="A12" s="89" t="str">
        <f t="shared" si="1"/>
        <v/>
      </c>
      <c r="B12" s="86"/>
      <c r="C12" s="23"/>
      <c r="D12" s="25"/>
    </row>
    <row r="13" ht="15.75" customHeight="1">
      <c r="A13" s="89" t="str">
        <f t="shared" si="1"/>
        <v/>
      </c>
      <c r="B13" s="86"/>
      <c r="C13" s="23"/>
      <c r="D13" s="25"/>
    </row>
    <row r="14" ht="15.75" customHeight="1">
      <c r="A14" s="89" t="str">
        <f t="shared" si="1"/>
        <v/>
      </c>
      <c r="B14" s="86"/>
      <c r="C14" s="27"/>
      <c r="D14" s="20"/>
    </row>
    <row r="15" ht="15.75" customHeight="1">
      <c r="A15" s="90" t="s">
        <v>213</v>
      </c>
      <c r="B15" s="4"/>
      <c r="C15" s="4"/>
      <c r="D15" s="5"/>
    </row>
    <row r="16">
      <c r="A16" s="91" t="s">
        <v>121</v>
      </c>
      <c r="B16" s="92" t="s">
        <v>122</v>
      </c>
      <c r="C16" s="91" t="s">
        <v>123</v>
      </c>
      <c r="D16" s="91" t="s">
        <v>124</v>
      </c>
    </row>
    <row r="17" ht="15.75" customHeight="1">
      <c r="A17" s="96"/>
      <c r="B17" s="96"/>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216</v>
      </c>
      <c r="B29" s="4"/>
      <c r="C29" s="4"/>
      <c r="D29" s="5"/>
    </row>
    <row r="30" ht="15.75" customHeight="1">
      <c r="A30" s="105"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218</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temporal'!$A13</f>
        <v>9-</v>
      </c>
      <c r="C3" s="69" t="s">
        <v>77</v>
      </c>
      <c r="D3" s="76" t="str">
        <f>'6-Distribució temporal'!$L13</f>
        <v/>
      </c>
    </row>
    <row r="4" ht="15.75" customHeight="1">
      <c r="A4" s="78" t="s">
        <v>96</v>
      </c>
      <c r="B4" s="4"/>
      <c r="C4" s="78" t="s">
        <v>100</v>
      </c>
      <c r="D4" s="5"/>
    </row>
    <row r="5" ht="15.75" customHeight="1">
      <c r="A5" s="80" t="s">
        <v>212</v>
      </c>
      <c r="B5" s="82" t="s">
        <v>105</v>
      </c>
      <c r="C5" s="84"/>
      <c r="D5" s="22"/>
    </row>
    <row r="6" ht="15.75" customHeight="1">
      <c r="A6" s="85"/>
      <c r="B6" s="86"/>
      <c r="C6" s="23"/>
      <c r="D6" s="25"/>
    </row>
    <row r="7" ht="15.75" customHeight="1">
      <c r="A7" s="89" t="str">
        <f t="shared" ref="A7:A14" si="1">IFERROR(VLOOKUP(B7,'4-CA'!$A$4:$B$105,2,FALSE),"")</f>
        <v/>
      </c>
      <c r="B7" s="86"/>
      <c r="C7" s="23"/>
      <c r="D7" s="25"/>
    </row>
    <row r="8" ht="15.75" customHeight="1">
      <c r="A8" s="89" t="str">
        <f t="shared" si="1"/>
        <v/>
      </c>
      <c r="B8" s="86"/>
      <c r="C8" s="23"/>
      <c r="D8" s="25"/>
    </row>
    <row r="9" ht="15.75" customHeight="1">
      <c r="A9" s="89" t="str">
        <f t="shared" si="1"/>
        <v/>
      </c>
      <c r="B9" s="86"/>
      <c r="C9" s="23"/>
      <c r="D9" s="25"/>
    </row>
    <row r="10" ht="15.75" customHeight="1">
      <c r="A10" s="89" t="str">
        <f t="shared" si="1"/>
        <v/>
      </c>
      <c r="B10" s="86"/>
      <c r="C10" s="23"/>
      <c r="D10" s="25"/>
    </row>
    <row r="11" ht="15.75" customHeight="1">
      <c r="A11" s="89" t="str">
        <f t="shared" si="1"/>
        <v/>
      </c>
      <c r="B11" s="86"/>
      <c r="C11" s="23"/>
      <c r="D11" s="25"/>
    </row>
    <row r="12" ht="15.75" customHeight="1">
      <c r="A12" s="89" t="str">
        <f t="shared" si="1"/>
        <v/>
      </c>
      <c r="B12" s="86"/>
      <c r="C12" s="23"/>
      <c r="D12" s="25"/>
    </row>
    <row r="13" ht="15.75" customHeight="1">
      <c r="A13" s="89" t="str">
        <f t="shared" si="1"/>
        <v/>
      </c>
      <c r="B13" s="86"/>
      <c r="C13" s="23"/>
      <c r="D13" s="25"/>
    </row>
    <row r="14" ht="15.75" customHeight="1">
      <c r="A14" s="89" t="str">
        <f t="shared" si="1"/>
        <v/>
      </c>
      <c r="B14" s="86"/>
      <c r="C14" s="27"/>
      <c r="D14" s="20"/>
    </row>
    <row r="15" ht="15.75" customHeight="1">
      <c r="A15" s="90" t="s">
        <v>215</v>
      </c>
      <c r="B15" s="4"/>
      <c r="C15" s="4"/>
      <c r="D15" s="5"/>
    </row>
    <row r="16">
      <c r="A16" s="91" t="s">
        <v>121</v>
      </c>
      <c r="B16" s="92" t="s">
        <v>122</v>
      </c>
      <c r="C16" s="91" t="s">
        <v>123</v>
      </c>
      <c r="D16" s="91" t="s">
        <v>124</v>
      </c>
    </row>
    <row r="17" ht="15.75" customHeight="1">
      <c r="A17" s="96"/>
      <c r="B17" s="96"/>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219</v>
      </c>
      <c r="B29" s="4"/>
      <c r="C29" s="4"/>
      <c r="D29" s="5"/>
    </row>
    <row r="30" ht="15.75" customHeight="1">
      <c r="A30" s="105"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221</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temporal'!$A14</f>
        <v>10-</v>
      </c>
      <c r="C3" s="69" t="s">
        <v>77</v>
      </c>
      <c r="D3" s="76" t="str">
        <f>'6-Distribució temporal'!$L14</f>
        <v/>
      </c>
    </row>
    <row r="4" ht="15.75" customHeight="1">
      <c r="A4" s="78" t="s">
        <v>96</v>
      </c>
      <c r="B4" s="4"/>
      <c r="C4" s="78" t="s">
        <v>100</v>
      </c>
      <c r="D4" s="5"/>
    </row>
    <row r="5" ht="15.75" customHeight="1">
      <c r="A5" s="80" t="s">
        <v>214</v>
      </c>
      <c r="B5" s="82" t="s">
        <v>105</v>
      </c>
      <c r="C5" s="84"/>
      <c r="D5" s="22"/>
    </row>
    <row r="6" ht="15.75" customHeight="1">
      <c r="A6" s="85"/>
      <c r="B6" s="86"/>
      <c r="C6" s="23"/>
      <c r="D6" s="25"/>
    </row>
    <row r="7" ht="15.75" customHeight="1">
      <c r="A7" s="89" t="str">
        <f t="shared" ref="A7:A14" si="1">IFERROR(VLOOKUP(B7,'4-CA'!$A$4:$B$105,2,FALSE),"")</f>
        <v/>
      </c>
      <c r="B7" s="86"/>
      <c r="C7" s="23"/>
      <c r="D7" s="25"/>
    </row>
    <row r="8" ht="15.75" customHeight="1">
      <c r="A8" s="89" t="str">
        <f t="shared" si="1"/>
        <v/>
      </c>
      <c r="B8" s="86"/>
      <c r="C8" s="23"/>
      <c r="D8" s="25"/>
    </row>
    <row r="9" ht="15.75" customHeight="1">
      <c r="A9" s="89" t="str">
        <f t="shared" si="1"/>
        <v/>
      </c>
      <c r="B9" s="86"/>
      <c r="C9" s="23"/>
      <c r="D9" s="25"/>
    </row>
    <row r="10" ht="15.75" customHeight="1">
      <c r="A10" s="89" t="str">
        <f t="shared" si="1"/>
        <v/>
      </c>
      <c r="B10" s="86"/>
      <c r="C10" s="23"/>
      <c r="D10" s="25"/>
    </row>
    <row r="11" ht="15.75" customHeight="1">
      <c r="A11" s="89" t="str">
        <f t="shared" si="1"/>
        <v/>
      </c>
      <c r="B11" s="86"/>
      <c r="C11" s="23"/>
      <c r="D11" s="25"/>
    </row>
    <row r="12" ht="15.75" customHeight="1">
      <c r="A12" s="89" t="str">
        <f t="shared" si="1"/>
        <v/>
      </c>
      <c r="B12" s="86"/>
      <c r="C12" s="23"/>
      <c r="D12" s="25"/>
    </row>
    <row r="13" ht="15.75" customHeight="1">
      <c r="A13" s="89" t="str">
        <f t="shared" si="1"/>
        <v/>
      </c>
      <c r="B13" s="86"/>
      <c r="C13" s="23"/>
      <c r="D13" s="25"/>
    </row>
    <row r="14" ht="15.75" customHeight="1">
      <c r="A14" s="89" t="str">
        <f t="shared" si="1"/>
        <v/>
      </c>
      <c r="B14" s="86"/>
      <c r="C14" s="27"/>
      <c r="D14" s="20"/>
    </row>
    <row r="15" ht="15.75" customHeight="1">
      <c r="A15" s="90" t="s">
        <v>217</v>
      </c>
      <c r="B15" s="4"/>
      <c r="C15" s="4"/>
      <c r="D15" s="5"/>
    </row>
    <row r="16">
      <c r="A16" s="91" t="s">
        <v>121</v>
      </c>
      <c r="B16" s="92" t="s">
        <v>122</v>
      </c>
      <c r="C16" s="91" t="s">
        <v>123</v>
      </c>
      <c r="D16" s="91" t="s">
        <v>124</v>
      </c>
    </row>
    <row r="17" ht="15.75" customHeight="1">
      <c r="A17" s="96"/>
      <c r="B17" s="96"/>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220</v>
      </c>
      <c r="B29" s="4"/>
      <c r="C29" s="4"/>
      <c r="D29" s="5"/>
    </row>
    <row r="30" ht="15.75" customHeight="1">
      <c r="A30" s="105"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222</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temporal'!$A15</f>
        <v>11-</v>
      </c>
      <c r="C3" s="69" t="s">
        <v>77</v>
      </c>
      <c r="D3" s="76" t="str">
        <f>'6-Distribució temporal'!$L15</f>
        <v/>
      </c>
    </row>
    <row r="4" ht="15.75" customHeight="1">
      <c r="A4" s="78" t="s">
        <v>96</v>
      </c>
      <c r="B4" s="4"/>
      <c r="C4" s="78" t="s">
        <v>100</v>
      </c>
      <c r="D4" s="5"/>
    </row>
    <row r="5" ht="15.75" customHeight="1">
      <c r="A5" s="80" t="s">
        <v>223</v>
      </c>
      <c r="B5" s="82" t="s">
        <v>105</v>
      </c>
      <c r="C5" s="84"/>
      <c r="D5" s="22"/>
    </row>
    <row r="6" ht="15.75" customHeight="1">
      <c r="A6" s="85"/>
      <c r="B6" s="86"/>
      <c r="C6" s="23"/>
      <c r="D6" s="25"/>
    </row>
    <row r="7" ht="15.75" customHeight="1">
      <c r="A7" s="89" t="str">
        <f t="shared" ref="A7:A14" si="1">IFERROR(VLOOKUP(B7,'4-CA'!$A$4:$B$105,2,FALSE),"")</f>
        <v/>
      </c>
      <c r="B7" s="86"/>
      <c r="C7" s="23"/>
      <c r="D7" s="25"/>
    </row>
    <row r="8" ht="15.75" customHeight="1">
      <c r="A8" s="89" t="str">
        <f t="shared" si="1"/>
        <v/>
      </c>
      <c r="B8" s="86"/>
      <c r="C8" s="23"/>
      <c r="D8" s="25"/>
    </row>
    <row r="9" ht="15.75" customHeight="1">
      <c r="A9" s="89" t="str">
        <f t="shared" si="1"/>
        <v/>
      </c>
      <c r="B9" s="86"/>
      <c r="C9" s="23"/>
      <c r="D9" s="25"/>
    </row>
    <row r="10" ht="15.75" customHeight="1">
      <c r="A10" s="89" t="str">
        <f t="shared" si="1"/>
        <v/>
      </c>
      <c r="B10" s="86"/>
      <c r="C10" s="23"/>
      <c r="D10" s="25"/>
    </row>
    <row r="11" ht="15.75" customHeight="1">
      <c r="A11" s="89" t="str">
        <f t="shared" si="1"/>
        <v/>
      </c>
      <c r="B11" s="86"/>
      <c r="C11" s="23"/>
      <c r="D11" s="25"/>
    </row>
    <row r="12" ht="15.75" customHeight="1">
      <c r="A12" s="89" t="str">
        <f t="shared" si="1"/>
        <v/>
      </c>
      <c r="B12" s="86"/>
      <c r="C12" s="23"/>
      <c r="D12" s="25"/>
    </row>
    <row r="13" ht="15.75" customHeight="1">
      <c r="A13" s="89" t="str">
        <f t="shared" si="1"/>
        <v/>
      </c>
      <c r="B13" s="86"/>
      <c r="C13" s="23"/>
      <c r="D13" s="25"/>
    </row>
    <row r="14" ht="15.75" customHeight="1">
      <c r="A14" s="89" t="str">
        <f t="shared" si="1"/>
        <v/>
      </c>
      <c r="B14" s="86"/>
      <c r="C14" s="27"/>
      <c r="D14" s="20"/>
    </row>
    <row r="15" ht="15.75" customHeight="1">
      <c r="A15" s="90" t="s">
        <v>224</v>
      </c>
      <c r="B15" s="4"/>
      <c r="C15" s="4"/>
      <c r="D15" s="5"/>
    </row>
    <row r="16">
      <c r="A16" s="91" t="s">
        <v>121</v>
      </c>
      <c r="B16" s="92" t="s">
        <v>122</v>
      </c>
      <c r="C16" s="91" t="s">
        <v>123</v>
      </c>
      <c r="D16" s="91" t="s">
        <v>124</v>
      </c>
    </row>
    <row r="17" ht="15.75" customHeight="1">
      <c r="A17" s="96"/>
      <c r="B17" s="96"/>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226</v>
      </c>
      <c r="B29" s="4"/>
      <c r="C29" s="4"/>
      <c r="D29" s="5"/>
    </row>
    <row r="30" ht="15.75" customHeight="1">
      <c r="A30" s="105"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227</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38"/>
    <col customWidth="1" min="2" max="2" width="77.0"/>
    <col customWidth="1" min="3" max="3" width="23.63"/>
    <col customWidth="1" min="4" max="4" width="40.63"/>
    <col customWidth="1" min="5" max="5" width="34.5"/>
  </cols>
  <sheetData>
    <row r="1" ht="79.5" customHeight="1">
      <c r="A1" s="65"/>
      <c r="B1" s="4"/>
      <c r="C1" s="4"/>
      <c r="D1" s="5"/>
    </row>
    <row r="2" ht="23.25" customHeight="1">
      <c r="A2" s="68" t="s">
        <v>79</v>
      </c>
    </row>
    <row r="3" ht="15.75" customHeight="1">
      <c r="A3" s="69" t="s">
        <v>87</v>
      </c>
      <c r="B3" s="74" t="str">
        <f>'6-Distribució temporal'!$A16</f>
        <v>12- </v>
      </c>
      <c r="C3" s="69" t="s">
        <v>77</v>
      </c>
      <c r="D3" s="76" t="str">
        <f>'6-Distribució temporal'!$L16</f>
        <v/>
      </c>
    </row>
    <row r="4" ht="15.75" customHeight="1">
      <c r="A4" s="78" t="s">
        <v>96</v>
      </c>
      <c r="B4" s="4"/>
      <c r="C4" s="78" t="s">
        <v>100</v>
      </c>
      <c r="D4" s="5"/>
    </row>
    <row r="5" ht="15.75" customHeight="1">
      <c r="A5" s="80" t="s">
        <v>225</v>
      </c>
      <c r="B5" s="82" t="s">
        <v>105</v>
      </c>
      <c r="C5" s="84"/>
      <c r="D5" s="22"/>
    </row>
    <row r="6" ht="15.75" customHeight="1">
      <c r="A6" s="85"/>
      <c r="B6" s="86"/>
      <c r="C6" s="23"/>
      <c r="D6" s="25"/>
    </row>
    <row r="7" ht="15.75" customHeight="1">
      <c r="A7" s="89" t="str">
        <f t="shared" ref="A7:A14" si="1">IFERROR(VLOOKUP(B7,'4-CA'!$A$4:$B$105,2,FALSE),"")</f>
        <v/>
      </c>
      <c r="B7" s="86"/>
      <c r="C7" s="23"/>
      <c r="D7" s="25"/>
    </row>
    <row r="8" ht="15.75" customHeight="1">
      <c r="A8" s="89" t="str">
        <f t="shared" si="1"/>
        <v/>
      </c>
      <c r="B8" s="86"/>
      <c r="C8" s="23"/>
      <c r="D8" s="25"/>
    </row>
    <row r="9" ht="15.75" customHeight="1">
      <c r="A9" s="89" t="str">
        <f t="shared" si="1"/>
        <v/>
      </c>
      <c r="B9" s="86"/>
      <c r="C9" s="23"/>
      <c r="D9" s="25"/>
    </row>
    <row r="10" ht="15.75" customHeight="1">
      <c r="A10" s="89" t="str">
        <f t="shared" si="1"/>
        <v/>
      </c>
      <c r="B10" s="86"/>
      <c r="C10" s="23"/>
      <c r="D10" s="25"/>
    </row>
    <row r="11" ht="15.75" customHeight="1">
      <c r="A11" s="89" t="str">
        <f t="shared" si="1"/>
        <v/>
      </c>
      <c r="B11" s="86"/>
      <c r="C11" s="23"/>
      <c r="D11" s="25"/>
    </row>
    <row r="12" ht="15.75" customHeight="1">
      <c r="A12" s="89" t="str">
        <f t="shared" si="1"/>
        <v/>
      </c>
      <c r="B12" s="86"/>
      <c r="C12" s="23"/>
      <c r="D12" s="25"/>
    </row>
    <row r="13" ht="15.75" customHeight="1">
      <c r="A13" s="89" t="str">
        <f t="shared" si="1"/>
        <v/>
      </c>
      <c r="B13" s="86"/>
      <c r="C13" s="23"/>
      <c r="D13" s="25"/>
    </row>
    <row r="14" ht="15.75" customHeight="1">
      <c r="A14" s="89" t="str">
        <f t="shared" si="1"/>
        <v/>
      </c>
      <c r="B14" s="86"/>
      <c r="C14" s="27"/>
      <c r="D14" s="20"/>
    </row>
    <row r="15" ht="15.75" customHeight="1">
      <c r="A15" s="90" t="s">
        <v>231</v>
      </c>
      <c r="B15" s="4"/>
      <c r="C15" s="4"/>
      <c r="D15" s="5"/>
    </row>
    <row r="16">
      <c r="A16" s="91" t="s">
        <v>121</v>
      </c>
      <c r="B16" s="92" t="s">
        <v>122</v>
      </c>
      <c r="C16" s="91" t="s">
        <v>123</v>
      </c>
      <c r="D16" s="91" t="s">
        <v>124</v>
      </c>
    </row>
    <row r="17" ht="15.75" customHeight="1">
      <c r="A17" s="96"/>
      <c r="B17" s="96"/>
      <c r="C17" s="94"/>
      <c r="D17" s="95"/>
    </row>
    <row r="18" ht="15.75" customHeight="1">
      <c r="A18" s="96"/>
      <c r="B18" s="96"/>
      <c r="C18" s="97"/>
      <c r="D18" s="95"/>
    </row>
    <row r="19" ht="15.75" customHeight="1">
      <c r="A19" s="96"/>
      <c r="B19" s="96"/>
      <c r="C19" s="97"/>
      <c r="D19" s="95"/>
    </row>
    <row r="20" ht="15.75" customHeight="1">
      <c r="A20" s="96"/>
      <c r="B20" s="96"/>
      <c r="C20" s="97"/>
      <c r="D20" s="95"/>
    </row>
    <row r="21" ht="15.75" customHeight="1">
      <c r="A21" s="96"/>
      <c r="B21" s="96"/>
      <c r="C21" s="97"/>
      <c r="D21" s="95"/>
    </row>
    <row r="22" ht="15.75" customHeight="1">
      <c r="A22" s="96"/>
      <c r="B22" s="96"/>
      <c r="C22" s="97"/>
      <c r="D22" s="95"/>
    </row>
    <row r="23" ht="15.75" customHeight="1">
      <c r="A23" s="96"/>
      <c r="B23" s="96"/>
      <c r="C23" s="97"/>
      <c r="D23" s="95"/>
    </row>
    <row r="24" ht="15.75" customHeight="1">
      <c r="A24" s="96"/>
      <c r="B24" s="96"/>
      <c r="C24" s="97"/>
      <c r="D24" s="95"/>
    </row>
    <row r="25" ht="15.75" customHeight="1">
      <c r="A25" s="96"/>
      <c r="B25" s="96"/>
      <c r="C25" s="97"/>
      <c r="D25" s="95"/>
    </row>
    <row r="26" ht="15.75" customHeight="1">
      <c r="A26" s="96"/>
      <c r="B26" s="96"/>
      <c r="C26" s="97"/>
      <c r="D26" s="95"/>
    </row>
    <row r="27" ht="15.75" customHeight="1">
      <c r="A27" s="96"/>
      <c r="B27" s="96"/>
      <c r="C27" s="97"/>
      <c r="D27" s="95"/>
    </row>
    <row r="28" ht="15.75" customHeight="1">
      <c r="A28" s="96"/>
      <c r="B28" s="96"/>
      <c r="C28" s="97"/>
      <c r="D28" s="95"/>
    </row>
    <row r="29" ht="15.75" customHeight="1">
      <c r="A29" s="98" t="s">
        <v>233</v>
      </c>
      <c r="B29" s="4"/>
      <c r="C29" s="4"/>
      <c r="D29" s="5"/>
    </row>
    <row r="30" ht="15.75" customHeight="1">
      <c r="A30" s="105" t="s">
        <v>139</v>
      </c>
      <c r="B30" s="19"/>
      <c r="C30" s="19"/>
      <c r="D30" s="22"/>
    </row>
    <row r="31" ht="15.75" customHeight="1">
      <c r="A31" s="23"/>
      <c r="D31" s="25"/>
    </row>
    <row r="32" ht="15.75" customHeight="1">
      <c r="A32" s="23"/>
      <c r="D32" s="25"/>
    </row>
    <row r="33" ht="15.75" customHeight="1">
      <c r="A33" s="23"/>
      <c r="D33" s="25"/>
    </row>
    <row r="34" ht="15.75" customHeight="1">
      <c r="A34" s="23"/>
      <c r="D34" s="25"/>
    </row>
    <row r="35" ht="15.75" customHeight="1">
      <c r="A35" s="23"/>
      <c r="D35" s="25"/>
    </row>
    <row r="36" ht="15.75" customHeight="1">
      <c r="A36" s="27"/>
      <c r="B36" s="16"/>
      <c r="C36" s="16"/>
      <c r="D36" s="20"/>
    </row>
    <row r="37" ht="15.75" customHeight="1">
      <c r="A37" s="100"/>
      <c r="B37" s="100"/>
      <c r="C37" s="100"/>
      <c r="D37" s="100"/>
    </row>
    <row r="38" ht="106.5" customHeight="1">
      <c r="A38" s="101" t="s">
        <v>235</v>
      </c>
      <c r="B38" s="4"/>
      <c r="C38" s="4"/>
      <c r="D38" s="5"/>
    </row>
    <row r="39" ht="15.75" customHeight="1">
      <c r="A39" s="102"/>
    </row>
    <row r="40" ht="15.75" customHeight="1">
      <c r="A40" s="103"/>
    </row>
    <row r="41" ht="15.75" customHeight="1">
      <c r="A41" s="104"/>
      <c r="B41" s="104"/>
      <c r="C41" s="10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1">
    <mergeCell ref="A30:D36"/>
    <mergeCell ref="A38:D38"/>
    <mergeCell ref="A39:D39"/>
    <mergeCell ref="A40:D40"/>
    <mergeCell ref="A1:D1"/>
    <mergeCell ref="A2:D2"/>
    <mergeCell ref="A4:B4"/>
    <mergeCell ref="C4:D4"/>
    <mergeCell ref="C5:D14"/>
    <mergeCell ref="A15:D15"/>
    <mergeCell ref="A29:D2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2" max="2" width="16.13"/>
    <col customWidth="1" min="3" max="6" width="12.63"/>
  </cols>
  <sheetData>
    <row r="1" ht="72.0" customHeight="1">
      <c r="A1" s="2"/>
      <c r="B1" s="4"/>
      <c r="C1" s="4"/>
      <c r="D1" s="4"/>
      <c r="E1" s="4"/>
      <c r="F1" s="4"/>
      <c r="G1" s="4"/>
      <c r="H1" s="5"/>
    </row>
    <row r="2" ht="15.75" customHeight="1">
      <c r="A2" s="10" t="s">
        <v>228</v>
      </c>
      <c r="B2" s="4"/>
      <c r="C2" s="4"/>
      <c r="D2" s="4"/>
      <c r="E2" s="4"/>
      <c r="F2" s="4"/>
      <c r="G2" s="4"/>
      <c r="H2" s="5"/>
    </row>
    <row r="3" ht="15.75" customHeight="1">
      <c r="A3" s="106" t="s">
        <v>229</v>
      </c>
      <c r="B3" s="16"/>
      <c r="C3" s="16"/>
      <c r="D3" s="16"/>
      <c r="E3" s="16"/>
      <c r="F3" s="16"/>
      <c r="G3" s="16"/>
      <c r="H3" s="20"/>
    </row>
    <row r="4" ht="105.75" customHeight="1">
      <c r="A4" s="107" t="s">
        <v>230</v>
      </c>
      <c r="B4" s="16"/>
      <c r="C4" s="16"/>
      <c r="D4" s="16"/>
      <c r="E4" s="16"/>
      <c r="F4" s="16"/>
      <c r="G4" s="16"/>
      <c r="H4" s="20"/>
    </row>
    <row r="5" ht="15.75" customHeight="1">
      <c r="A5" s="108" t="s">
        <v>232</v>
      </c>
      <c r="B5" s="16"/>
      <c r="C5" s="16"/>
      <c r="D5" s="16"/>
      <c r="E5" s="16"/>
      <c r="F5" s="16"/>
      <c r="G5" s="16"/>
      <c r="H5" s="20"/>
    </row>
    <row r="6" ht="15.75" customHeight="1">
      <c r="A6" s="109" t="str">
        <f>'UT1'!A30</f>
        <v>Modificacions que consideres pel curs vinent, incidències, canvi del material i recursos didàctics emprats, millorar la coordinació amb altres mòduls, valoració dels criteris de qualificació, comportament del grup ...</v>
      </c>
      <c r="B6" s="19"/>
      <c r="C6" s="19"/>
      <c r="D6" s="19"/>
      <c r="E6" s="19"/>
      <c r="F6" s="19"/>
      <c r="G6" s="19"/>
      <c r="H6" s="22"/>
    </row>
    <row r="7" ht="15.75" customHeight="1">
      <c r="A7" s="23"/>
      <c r="H7" s="25"/>
    </row>
    <row r="8" ht="15.75" customHeight="1">
      <c r="A8" s="23"/>
      <c r="H8" s="25"/>
    </row>
    <row r="9" ht="15.75" customHeight="1">
      <c r="A9" s="23"/>
      <c r="H9" s="25"/>
    </row>
    <row r="10" ht="15.75" customHeight="1">
      <c r="A10" s="23"/>
      <c r="H10" s="25"/>
    </row>
    <row r="11" ht="15.75" customHeight="1">
      <c r="A11" s="23"/>
      <c r="H11" s="25"/>
    </row>
    <row r="12" ht="15.75" customHeight="1">
      <c r="A12" s="27"/>
      <c r="B12" s="16"/>
      <c r="C12" s="16"/>
      <c r="D12" s="16"/>
      <c r="E12" s="16"/>
      <c r="F12" s="16"/>
      <c r="G12" s="16"/>
      <c r="H12" s="20"/>
    </row>
    <row r="13" ht="15.75" customHeight="1">
      <c r="A13" s="108" t="s">
        <v>234</v>
      </c>
      <c r="B13" s="16"/>
      <c r="C13" s="16"/>
      <c r="D13" s="16"/>
      <c r="E13" s="16"/>
      <c r="F13" s="16"/>
      <c r="G13" s="16"/>
      <c r="H13" s="20"/>
    </row>
    <row r="14" ht="15.75" customHeight="1">
      <c r="A14" s="109" t="str">
        <f>'UT2'!A30</f>
        <v>Modificacions que consideres pel curs vinent, incidències, canvi del material i recursos didàctics emprats, millorar la coordinació amb altres mòduls, valoració dels criteris de qualificació, comportament del grup ...</v>
      </c>
      <c r="B14" s="19"/>
      <c r="C14" s="19"/>
      <c r="D14" s="19"/>
      <c r="E14" s="19"/>
      <c r="F14" s="19"/>
      <c r="G14" s="19"/>
      <c r="H14" s="22"/>
    </row>
    <row r="15" ht="15.75" customHeight="1">
      <c r="A15" s="23"/>
      <c r="H15" s="25"/>
    </row>
    <row r="16" ht="15.75" customHeight="1">
      <c r="A16" s="23"/>
      <c r="H16" s="25"/>
    </row>
    <row r="17" ht="15.75" customHeight="1">
      <c r="A17" s="23"/>
      <c r="H17" s="25"/>
    </row>
    <row r="18" ht="15.75" customHeight="1">
      <c r="A18" s="23"/>
      <c r="H18" s="25"/>
    </row>
    <row r="19" ht="15.75" customHeight="1">
      <c r="A19" s="23"/>
      <c r="H19" s="25"/>
    </row>
    <row r="20" ht="15.75" customHeight="1">
      <c r="A20" s="27"/>
      <c r="B20" s="16"/>
      <c r="C20" s="16"/>
      <c r="D20" s="16"/>
      <c r="E20" s="16"/>
      <c r="F20" s="16"/>
      <c r="G20" s="16"/>
      <c r="H20" s="20"/>
    </row>
    <row r="21" ht="15.75" customHeight="1">
      <c r="A21" s="108" t="s">
        <v>236</v>
      </c>
      <c r="B21" s="16"/>
      <c r="C21" s="16"/>
      <c r="D21" s="16"/>
      <c r="E21" s="16"/>
      <c r="F21" s="16"/>
      <c r="G21" s="16"/>
      <c r="H21" s="20"/>
    </row>
    <row r="22" ht="15.75" customHeight="1">
      <c r="A22" s="109" t="str">
        <f>'UT3'!A38</f>
        <v>Modificacions que consideres pel curs vinent, incidències, canvi del material i recursos didàctics emprats, millorar la coordinació amb altres mòduls, valoració dels criteris de qualificació, comportament del grup ...</v>
      </c>
      <c r="B22" s="19"/>
      <c r="C22" s="19"/>
      <c r="D22" s="19"/>
      <c r="E22" s="19"/>
      <c r="F22" s="19"/>
      <c r="G22" s="19"/>
      <c r="H22" s="22"/>
    </row>
    <row r="23" ht="15.75" customHeight="1">
      <c r="A23" s="23"/>
      <c r="H23" s="25"/>
    </row>
    <row r="24" ht="15.75" customHeight="1">
      <c r="A24" s="23"/>
      <c r="H24" s="25"/>
    </row>
    <row r="25" ht="15.75" customHeight="1">
      <c r="A25" s="23"/>
      <c r="H25" s="25"/>
    </row>
    <row r="26" ht="15.75" customHeight="1">
      <c r="A26" s="23"/>
      <c r="H26" s="25"/>
    </row>
    <row r="27" ht="15.75" customHeight="1">
      <c r="A27" s="23"/>
      <c r="H27" s="25"/>
    </row>
    <row r="28" ht="15.75" customHeight="1">
      <c r="A28" s="27"/>
      <c r="B28" s="16"/>
      <c r="C28" s="16"/>
      <c r="D28" s="16"/>
      <c r="E28" s="16"/>
      <c r="F28" s="16"/>
      <c r="G28" s="16"/>
      <c r="H28" s="20"/>
    </row>
    <row r="29" ht="15.75" customHeight="1">
      <c r="A29" s="108" t="s">
        <v>237</v>
      </c>
      <c r="B29" s="16"/>
      <c r="C29" s="16"/>
      <c r="D29" s="16"/>
      <c r="E29" s="16"/>
      <c r="F29" s="16"/>
      <c r="G29" s="16"/>
      <c r="H29" s="20"/>
    </row>
    <row r="30" ht="15.75" customHeight="1">
      <c r="A30" s="110" t="str">
        <f>'UT4'!A60</f>
        <v>Modificacions que consideres pel curs vinent, incidències, canvi del material i recursos didàctics emprats, millorar la coordinació amb altres mòduls, valoració dels criteris de qualificació, comportament del grup ...</v>
      </c>
      <c r="B30" s="19"/>
      <c r="C30" s="19"/>
      <c r="D30" s="19"/>
      <c r="E30" s="19"/>
      <c r="F30" s="19"/>
      <c r="G30" s="19"/>
      <c r="H30" s="22"/>
    </row>
    <row r="31" ht="15.75" customHeight="1">
      <c r="A31" s="23"/>
      <c r="H31" s="25"/>
    </row>
    <row r="32" ht="15.75" customHeight="1">
      <c r="A32" s="23"/>
      <c r="H32" s="25"/>
    </row>
    <row r="33" ht="15.75" customHeight="1">
      <c r="A33" s="23"/>
      <c r="H33" s="25"/>
    </row>
    <row r="34" ht="15.75" customHeight="1">
      <c r="A34" s="23"/>
      <c r="H34" s="25"/>
    </row>
    <row r="35" ht="15.75" customHeight="1">
      <c r="A35" s="23"/>
      <c r="H35" s="25"/>
    </row>
    <row r="36" ht="15.75" customHeight="1">
      <c r="A36" s="27"/>
      <c r="B36" s="16"/>
      <c r="C36" s="16"/>
      <c r="D36" s="16"/>
      <c r="E36" s="16"/>
      <c r="F36" s="16"/>
      <c r="G36" s="16"/>
      <c r="H36" s="20"/>
    </row>
    <row r="37" ht="15.75" customHeight="1">
      <c r="A37" s="108" t="s">
        <v>238</v>
      </c>
      <c r="B37" s="16"/>
      <c r="C37" s="16"/>
      <c r="D37" s="16"/>
      <c r="E37" s="16"/>
      <c r="F37" s="16"/>
      <c r="G37" s="16"/>
      <c r="H37" s="20"/>
    </row>
    <row r="38" ht="15.75" customHeight="1">
      <c r="A38" s="109" t="str">
        <f>'UT5'!A30</f>
        <v>Modificacions que consideres pel curs vinent, incidències, canvi del material i recursos didàctics emprats, millorar la coordinació amb altres mòduls, valoració dels criteris de qualificació, comportament del grup ...</v>
      </c>
      <c r="B38" s="19"/>
      <c r="C38" s="19"/>
      <c r="D38" s="19"/>
      <c r="E38" s="19"/>
      <c r="F38" s="19"/>
      <c r="G38" s="19"/>
      <c r="H38" s="22"/>
    </row>
    <row r="39" ht="15.75" customHeight="1">
      <c r="A39" s="23"/>
      <c r="H39" s="25"/>
    </row>
    <row r="40" ht="15.75" customHeight="1">
      <c r="A40" s="23"/>
      <c r="H40" s="25"/>
    </row>
    <row r="41" ht="15.75" customHeight="1">
      <c r="A41" s="23"/>
      <c r="H41" s="25"/>
    </row>
    <row r="42" ht="15.75" customHeight="1">
      <c r="A42" s="23"/>
      <c r="H42" s="25"/>
    </row>
    <row r="43" ht="15.75" customHeight="1">
      <c r="A43" s="23"/>
      <c r="H43" s="25"/>
    </row>
    <row r="44" ht="15.75" customHeight="1">
      <c r="A44" s="27"/>
      <c r="B44" s="16"/>
      <c r="C44" s="16"/>
      <c r="D44" s="16"/>
      <c r="E44" s="16"/>
      <c r="F44" s="16"/>
      <c r="G44" s="16"/>
      <c r="H44" s="20"/>
    </row>
    <row r="45" ht="15.75" customHeight="1">
      <c r="A45" s="108" t="s">
        <v>239</v>
      </c>
      <c r="B45" s="16"/>
      <c r="C45" s="16"/>
      <c r="D45" s="16"/>
      <c r="E45" s="16"/>
      <c r="F45" s="16"/>
      <c r="G45" s="16"/>
      <c r="H45" s="20"/>
    </row>
    <row r="46" ht="15.75" customHeight="1">
      <c r="A46" s="110" t="str">
        <f>'UT6'!A30</f>
        <v>Modificacions que consideres pel curs vinent, incidències, canvi del material i recursos didàctics emprats, millorar la coordinació amb altres mòduls, valoració dels criteris de qualificació, comportament del grup ...</v>
      </c>
      <c r="B46" s="19"/>
      <c r="C46" s="19"/>
      <c r="D46" s="19"/>
      <c r="E46" s="19"/>
      <c r="F46" s="19"/>
      <c r="G46" s="19"/>
      <c r="H46" s="22"/>
    </row>
    <row r="47" ht="15.75" customHeight="1">
      <c r="A47" s="23"/>
      <c r="H47" s="25"/>
    </row>
    <row r="48" ht="15.75" customHeight="1">
      <c r="A48" s="23"/>
      <c r="H48" s="25"/>
    </row>
    <row r="49" ht="15.75" customHeight="1">
      <c r="A49" s="23"/>
      <c r="H49" s="25"/>
    </row>
    <row r="50" ht="15.75" customHeight="1">
      <c r="A50" s="23"/>
      <c r="H50" s="25"/>
    </row>
    <row r="51" ht="15.75" customHeight="1">
      <c r="A51" s="23"/>
      <c r="H51" s="25"/>
    </row>
    <row r="52" ht="15.75" customHeight="1">
      <c r="A52" s="27"/>
      <c r="B52" s="16"/>
      <c r="C52" s="16"/>
      <c r="D52" s="16"/>
      <c r="E52" s="16"/>
      <c r="F52" s="16"/>
      <c r="G52" s="16"/>
      <c r="H52" s="20"/>
    </row>
    <row r="53" ht="15.75" customHeight="1">
      <c r="A53" s="108" t="s">
        <v>240</v>
      </c>
      <c r="B53" s="16"/>
      <c r="C53" s="16"/>
      <c r="D53" s="16"/>
      <c r="E53" s="16"/>
      <c r="F53" s="16"/>
      <c r="G53" s="16"/>
      <c r="H53" s="20"/>
    </row>
    <row r="54" ht="15.75" customHeight="1">
      <c r="A54" s="110" t="str">
        <f>'UT7'!A30</f>
        <v>Modificacions que consideres pel curs vinent, incidències, canvi del material i recursos didàctics emprats, millorar la coordinació amb altres mòduls, valoració dels criteris de qualificació, comportament del grup ...</v>
      </c>
      <c r="B54" s="19"/>
      <c r="C54" s="19"/>
      <c r="D54" s="19"/>
      <c r="E54" s="19"/>
      <c r="F54" s="19"/>
      <c r="G54" s="19"/>
      <c r="H54" s="22"/>
    </row>
    <row r="55" ht="15.75" customHeight="1">
      <c r="A55" s="23"/>
      <c r="H55" s="25"/>
    </row>
    <row r="56" ht="15.75" customHeight="1">
      <c r="A56" s="23"/>
      <c r="H56" s="25"/>
    </row>
    <row r="57" ht="15.75" customHeight="1">
      <c r="A57" s="23"/>
      <c r="H57" s="25"/>
    </row>
    <row r="58" ht="15.75" customHeight="1">
      <c r="A58" s="23"/>
      <c r="H58" s="25"/>
    </row>
    <row r="59" ht="15.75" customHeight="1">
      <c r="A59" s="23"/>
      <c r="H59" s="25"/>
    </row>
    <row r="60" ht="15.75" customHeight="1">
      <c r="A60" s="27"/>
      <c r="B60" s="16"/>
      <c r="C60" s="16"/>
      <c r="D60" s="16"/>
      <c r="E60" s="16"/>
      <c r="F60" s="16"/>
      <c r="G60" s="16"/>
      <c r="H60" s="20"/>
    </row>
    <row r="61" ht="15.75" customHeight="1">
      <c r="A61" s="108" t="s">
        <v>241</v>
      </c>
      <c r="B61" s="16"/>
      <c r="C61" s="16"/>
      <c r="D61" s="16"/>
      <c r="E61" s="16"/>
      <c r="F61" s="16"/>
      <c r="G61" s="16"/>
      <c r="H61" s="20"/>
    </row>
    <row r="62" ht="15.75" customHeight="1">
      <c r="A62" s="110" t="str">
        <f>'UT8'!A30</f>
        <v>Modificacions que consideres pel curs vinent, incidències, canvi del material i recursos didàctics emprats, millorar la coordinació amb altres mòduls, valoració dels criteris de qualificació, comportament del grup ...</v>
      </c>
      <c r="B62" s="19"/>
      <c r="C62" s="19"/>
      <c r="D62" s="19"/>
      <c r="E62" s="19"/>
      <c r="F62" s="19"/>
      <c r="G62" s="19"/>
      <c r="H62" s="22"/>
    </row>
    <row r="63" ht="15.75" customHeight="1">
      <c r="A63" s="23"/>
      <c r="H63" s="25"/>
    </row>
    <row r="64" ht="15.75" customHeight="1">
      <c r="A64" s="23"/>
      <c r="H64" s="25"/>
    </row>
    <row r="65" ht="15.75" customHeight="1">
      <c r="A65" s="23"/>
      <c r="H65" s="25"/>
    </row>
    <row r="66" ht="15.75" customHeight="1">
      <c r="A66" s="23"/>
      <c r="H66" s="25"/>
    </row>
    <row r="67" ht="15.75" customHeight="1">
      <c r="A67" s="23"/>
      <c r="H67" s="25"/>
    </row>
    <row r="68" ht="15.75" customHeight="1">
      <c r="A68" s="27"/>
      <c r="B68" s="16"/>
      <c r="C68" s="16"/>
      <c r="D68" s="16"/>
      <c r="E68" s="16"/>
      <c r="F68" s="16"/>
      <c r="G68" s="16"/>
      <c r="H68" s="20"/>
    </row>
    <row r="69" ht="15.75" customHeight="1">
      <c r="A69" s="108" t="s">
        <v>242</v>
      </c>
      <c r="B69" s="16"/>
      <c r="C69" s="16"/>
      <c r="D69" s="16"/>
      <c r="E69" s="16"/>
      <c r="F69" s="16"/>
      <c r="G69" s="16"/>
      <c r="H69" s="20"/>
    </row>
    <row r="70" ht="15.75" customHeight="1">
      <c r="A70" s="110" t="str">
        <f>'UT9'!A30</f>
        <v>Modificacions que consideres pel curs vinent, incidències, canvi del material i recursos didàctics emprats, millorar la coordinació amb altres mòduls, valoració dels criteris de qualificació, comportament del grup ...</v>
      </c>
      <c r="B70" s="19"/>
      <c r="C70" s="19"/>
      <c r="D70" s="19"/>
      <c r="E70" s="19"/>
      <c r="F70" s="19"/>
      <c r="G70" s="19"/>
      <c r="H70" s="22"/>
    </row>
    <row r="71" ht="15.75" customHeight="1">
      <c r="A71" s="23"/>
      <c r="H71" s="25"/>
    </row>
    <row r="72" ht="15.75" customHeight="1">
      <c r="A72" s="23"/>
      <c r="H72" s="25"/>
    </row>
    <row r="73" ht="15.75" customHeight="1">
      <c r="A73" s="23"/>
      <c r="H73" s="25"/>
    </row>
    <row r="74" ht="15.75" customHeight="1">
      <c r="A74" s="23"/>
      <c r="H74" s="25"/>
    </row>
    <row r="75" ht="15.75" customHeight="1">
      <c r="A75" s="23"/>
      <c r="H75" s="25"/>
    </row>
    <row r="76" ht="15.75" customHeight="1">
      <c r="A76" s="27"/>
      <c r="B76" s="16"/>
      <c r="C76" s="16"/>
      <c r="D76" s="16"/>
      <c r="E76" s="16"/>
      <c r="F76" s="16"/>
      <c r="G76" s="16"/>
      <c r="H76" s="20"/>
    </row>
    <row r="77" ht="15.75" customHeight="1">
      <c r="A77" s="108" t="s">
        <v>243</v>
      </c>
      <c r="B77" s="16"/>
      <c r="C77" s="16"/>
      <c r="D77" s="16"/>
      <c r="E77" s="16"/>
      <c r="F77" s="16"/>
      <c r="G77" s="16"/>
      <c r="H77" s="20"/>
    </row>
    <row r="78" ht="15.75" customHeight="1">
      <c r="A78" s="110" t="str">
        <f>'UT10'!A30</f>
        <v>Modificacions que consideres pel curs vinent, incidències, canvi del material i recursos didàctics emprats, millorar la coordinació amb altres mòduls, valoració dels criteris de qualificació, comportament del grup ...</v>
      </c>
      <c r="B78" s="19"/>
      <c r="C78" s="19"/>
      <c r="D78" s="19"/>
      <c r="E78" s="19"/>
      <c r="F78" s="19"/>
      <c r="G78" s="19"/>
      <c r="H78" s="22"/>
    </row>
    <row r="79" ht="15.75" customHeight="1">
      <c r="A79" s="23"/>
      <c r="H79" s="25"/>
    </row>
    <row r="80" ht="15.75" customHeight="1">
      <c r="A80" s="23"/>
      <c r="H80" s="25"/>
    </row>
    <row r="81" ht="15.75" customHeight="1">
      <c r="A81" s="23"/>
      <c r="H81" s="25"/>
    </row>
    <row r="82" ht="15.75" customHeight="1">
      <c r="A82" s="23"/>
      <c r="H82" s="25"/>
    </row>
    <row r="83" ht="15.75" customHeight="1">
      <c r="A83" s="23"/>
      <c r="H83" s="25"/>
    </row>
    <row r="84" ht="15.75" customHeight="1">
      <c r="A84" s="27"/>
      <c r="B84" s="16"/>
      <c r="C84" s="16"/>
      <c r="D84" s="16"/>
      <c r="E84" s="16"/>
      <c r="F84" s="16"/>
      <c r="G84" s="16"/>
      <c r="H84" s="20"/>
    </row>
    <row r="85" ht="15.75" customHeight="1">
      <c r="A85" s="108" t="s">
        <v>244</v>
      </c>
      <c r="B85" s="16"/>
      <c r="C85" s="16"/>
      <c r="D85" s="16"/>
      <c r="E85" s="16"/>
      <c r="F85" s="16"/>
      <c r="G85" s="16"/>
      <c r="H85" s="20"/>
    </row>
    <row r="86" ht="15.75" customHeight="1">
      <c r="A86" s="110" t="str">
        <f>'UT11'!A30</f>
        <v>Modificacions que consideres pel curs vinent, incidències, canvi del material i recursos didàctics emprats, millorar la coordinació amb altres mòduls, valoració dels criteris de qualificació, comportament del grup ...</v>
      </c>
      <c r="B86" s="19"/>
      <c r="C86" s="19"/>
      <c r="D86" s="19"/>
      <c r="E86" s="19"/>
      <c r="F86" s="19"/>
      <c r="G86" s="19"/>
      <c r="H86" s="22"/>
    </row>
    <row r="87" ht="15.75" customHeight="1">
      <c r="A87" s="23"/>
      <c r="H87" s="25"/>
    </row>
    <row r="88" ht="15.75" customHeight="1">
      <c r="A88" s="23"/>
      <c r="H88" s="25"/>
    </row>
    <row r="89" ht="15.75" customHeight="1">
      <c r="A89" s="23"/>
      <c r="H89" s="25"/>
    </row>
    <row r="90" ht="15.75" customHeight="1">
      <c r="A90" s="23"/>
      <c r="H90" s="25"/>
    </row>
    <row r="91" ht="15.75" customHeight="1">
      <c r="A91" s="23"/>
      <c r="H91" s="25"/>
    </row>
    <row r="92" ht="15.75" customHeight="1">
      <c r="A92" s="27"/>
      <c r="B92" s="16"/>
      <c r="C92" s="16"/>
      <c r="D92" s="16"/>
      <c r="E92" s="16"/>
      <c r="F92" s="16"/>
      <c r="G92" s="16"/>
      <c r="H92" s="20"/>
    </row>
    <row r="93" ht="15.75" customHeight="1">
      <c r="A93" s="108" t="s">
        <v>245</v>
      </c>
      <c r="B93" s="16"/>
      <c r="C93" s="16"/>
      <c r="D93" s="16"/>
      <c r="E93" s="16"/>
      <c r="F93" s="16"/>
      <c r="G93" s="16"/>
      <c r="H93" s="20"/>
    </row>
    <row r="94" ht="15.75" customHeight="1">
      <c r="A94" s="110" t="str">
        <f>'UT12'!A30</f>
        <v>Modificacions que consideres pel curs vinent, incidències, canvi del material i recursos didàctics emprats, millorar la coordinació amb altres mòduls, valoració dels criteris de qualificació, comportament del grup ...</v>
      </c>
      <c r="B94" s="19"/>
      <c r="C94" s="19"/>
      <c r="D94" s="19"/>
      <c r="E94" s="19"/>
      <c r="F94" s="19"/>
      <c r="G94" s="19"/>
      <c r="H94" s="22"/>
    </row>
    <row r="95" ht="15.75" customHeight="1">
      <c r="A95" s="23"/>
      <c r="H95" s="25"/>
    </row>
    <row r="96" ht="15.75" customHeight="1">
      <c r="A96" s="23"/>
      <c r="H96" s="25"/>
    </row>
    <row r="97" ht="15.75" customHeight="1">
      <c r="A97" s="23"/>
      <c r="H97" s="25"/>
    </row>
    <row r="98" ht="15.75" customHeight="1">
      <c r="A98" s="23"/>
      <c r="H98" s="25"/>
    </row>
    <row r="99" ht="15.75" customHeight="1">
      <c r="A99" s="23"/>
      <c r="H99" s="25"/>
    </row>
    <row r="100" ht="15.75" customHeight="1">
      <c r="A100" s="27"/>
      <c r="B100" s="16"/>
      <c r="C100" s="16"/>
      <c r="D100" s="16"/>
      <c r="E100" s="16"/>
      <c r="F100" s="16"/>
      <c r="G100" s="16"/>
      <c r="H100" s="20"/>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sheetData>
  <mergeCells count="28">
    <mergeCell ref="A1:H1"/>
    <mergeCell ref="A2:H2"/>
    <mergeCell ref="A3:H3"/>
    <mergeCell ref="A4:H4"/>
    <mergeCell ref="A5:H5"/>
    <mergeCell ref="A6:H12"/>
    <mergeCell ref="A13:H13"/>
    <mergeCell ref="A14:H20"/>
    <mergeCell ref="A21:H21"/>
    <mergeCell ref="A22:H28"/>
    <mergeCell ref="A29:H29"/>
    <mergeCell ref="A30:H36"/>
    <mergeCell ref="A37:H37"/>
    <mergeCell ref="A38:H44"/>
    <mergeCell ref="A70:H76"/>
    <mergeCell ref="A77:H77"/>
    <mergeCell ref="A78:H84"/>
    <mergeCell ref="A85:H85"/>
    <mergeCell ref="A86:H92"/>
    <mergeCell ref="A93:H93"/>
    <mergeCell ref="A94:H100"/>
    <mergeCell ref="A45:H45"/>
    <mergeCell ref="A46:H52"/>
    <mergeCell ref="A53:H53"/>
    <mergeCell ref="A54:H60"/>
    <mergeCell ref="A61:H61"/>
    <mergeCell ref="A62:H68"/>
    <mergeCell ref="A69:H69"/>
  </mergeCells>
  <drawing r:id="rId1"/>
</worksheet>
</file>